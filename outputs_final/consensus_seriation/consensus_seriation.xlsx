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greshko/Documents/vms-seriation/outputs_original/consensus_seriation/"/>
    </mc:Choice>
  </mc:AlternateContent>
  <xr:revisionPtr revIDLastSave="0" documentId="13_ncr:1_{02E8F210-6860-C54A-AF22-7F8911F25EF5}" xr6:coauthVersionLast="47" xr6:coauthVersionMax="47" xr10:uidLastSave="{00000000-0000-0000-0000-000000000000}"/>
  <bookViews>
    <workbookView xWindow="5240" yWindow="660" windowWidth="25000" windowHeight="17840" xr2:uid="{F6E16D77-EDEB-9D4B-BCE5-349C8D2A843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S2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2" i="1"/>
  <c r="I43" i="1"/>
  <c r="I44" i="1"/>
  <c r="I45" i="1"/>
  <c r="I46" i="1"/>
  <c r="I47" i="1"/>
  <c r="I48" i="1"/>
  <c r="I49" i="1"/>
  <c r="I50" i="1"/>
  <c r="I51" i="1"/>
  <c r="I52" i="1"/>
  <c r="I53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2" i="1"/>
  <c r="E2" i="1"/>
  <c r="E3" i="1"/>
  <c r="E4" i="1"/>
  <c r="E5" i="1"/>
  <c r="E6" i="1"/>
  <c r="E7" i="1"/>
  <c r="E8" i="1"/>
  <c r="E9" i="1"/>
  <c r="E10" i="1"/>
  <c r="S10" i="1" s="1"/>
  <c r="E11" i="1"/>
  <c r="E12" i="1"/>
  <c r="E13" i="1"/>
  <c r="E14" i="1"/>
  <c r="E15" i="1"/>
  <c r="E16" i="1"/>
  <c r="E17" i="1"/>
  <c r="E18" i="1"/>
  <c r="E19" i="1"/>
  <c r="E20" i="1"/>
  <c r="E21" i="1"/>
  <c r="E22" i="1"/>
  <c r="S22" i="1" s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C2" i="1"/>
  <c r="C3" i="1"/>
  <c r="C4" i="1"/>
  <c r="S4" i="1" s="1"/>
  <c r="C5" i="1"/>
  <c r="S5" i="1" s="1"/>
  <c r="C6" i="1"/>
  <c r="C7" i="1"/>
  <c r="C8" i="1"/>
  <c r="C9" i="1"/>
  <c r="C10" i="1"/>
  <c r="C11" i="1"/>
  <c r="C12" i="1"/>
  <c r="C13" i="1"/>
  <c r="S13" i="1" s="1"/>
  <c r="C14" i="1"/>
  <c r="S14" i="1" s="1"/>
  <c r="C15" i="1"/>
  <c r="C16" i="1"/>
  <c r="S16" i="1" s="1"/>
  <c r="C17" i="1"/>
  <c r="S17" i="1" s="1"/>
  <c r="C18" i="1"/>
  <c r="S18" i="1" s="1"/>
  <c r="C19" i="1"/>
  <c r="C20" i="1"/>
  <c r="C21" i="1"/>
  <c r="C22" i="1"/>
  <c r="C23" i="1"/>
  <c r="C24" i="1"/>
  <c r="C25" i="1"/>
  <c r="C26" i="1"/>
  <c r="S26" i="1" s="1"/>
  <c r="C27" i="1"/>
  <c r="C28" i="1"/>
  <c r="S28" i="1" s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J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S7" i="1" l="1"/>
  <c r="S6" i="1"/>
  <c r="S20" i="1"/>
  <c r="S8" i="1"/>
  <c r="S32" i="1"/>
  <c r="S19" i="1"/>
  <c r="S47" i="1"/>
  <c r="S40" i="1"/>
  <c r="S44" i="1"/>
  <c r="S3" i="1"/>
  <c r="S27" i="1"/>
  <c r="S36" i="1"/>
  <c r="S35" i="1"/>
  <c r="S23" i="1"/>
  <c r="S11" i="1"/>
  <c r="S48" i="1"/>
  <c r="S39" i="1"/>
  <c r="S15" i="1"/>
  <c r="S38" i="1"/>
  <c r="S49" i="1"/>
  <c r="S12" i="1"/>
  <c r="S2" i="1"/>
  <c r="S37" i="1"/>
  <c r="S24" i="1"/>
  <c r="S21" i="1"/>
  <c r="S9" i="1"/>
  <c r="S53" i="1"/>
  <c r="S52" i="1"/>
  <c r="S51" i="1"/>
  <c r="S50" i="1"/>
  <c r="S42" i="1"/>
  <c r="S41" i="1"/>
  <c r="S30" i="1"/>
  <c r="S29" i="1"/>
  <c r="S43" i="1"/>
  <c r="Q53" i="1"/>
  <c r="Q29" i="1"/>
  <c r="Q17" i="1"/>
  <c r="Q5" i="1"/>
  <c r="S46" i="1"/>
  <c r="S34" i="1"/>
  <c r="S31" i="1"/>
  <c r="Q41" i="1"/>
  <c r="Q52" i="1"/>
  <c r="Q40" i="1"/>
  <c r="Q28" i="1"/>
  <c r="Q16" i="1"/>
  <c r="Q4" i="1"/>
  <c r="S45" i="1"/>
  <c r="S33" i="1"/>
  <c r="Q23" i="1"/>
  <c r="Q42" i="1"/>
  <c r="Q30" i="1"/>
  <c r="Q18" i="1"/>
  <c r="Q6" i="1"/>
  <c r="Q49" i="1"/>
  <c r="Q13" i="1"/>
  <c r="Q48" i="1"/>
  <c r="Q15" i="1"/>
  <c r="Q14" i="1"/>
  <c r="Q37" i="1"/>
  <c r="Q51" i="1"/>
  <c r="Q3" i="1"/>
  <c r="Q50" i="1"/>
  <c r="Q35" i="1"/>
  <c r="Q12" i="1"/>
  <c r="Q47" i="1"/>
  <c r="Q27" i="1"/>
  <c r="Q7" i="1"/>
  <c r="Q26" i="1"/>
  <c r="Q36" i="1"/>
  <c r="Q11" i="1"/>
  <c r="Q39" i="1"/>
  <c r="Q38" i="1"/>
  <c r="Q25" i="1"/>
  <c r="Q24" i="1"/>
  <c r="Q34" i="1"/>
  <c r="Q45" i="1"/>
  <c r="Q33" i="1"/>
  <c r="Q21" i="1"/>
  <c r="Q9" i="1"/>
  <c r="Q22" i="1"/>
  <c r="Q44" i="1"/>
  <c r="Q32" i="1"/>
  <c r="Q20" i="1"/>
  <c r="Q8" i="1"/>
  <c r="Q46" i="1"/>
  <c r="Q10" i="1"/>
  <c r="Q43" i="1"/>
  <c r="Q31" i="1"/>
  <c r="Q19" i="1"/>
</calcChain>
</file>

<file path=xl/sharedStrings.xml><?xml version="1.0" encoding="utf-8"?>
<sst xmlns="http://schemas.openxmlformats.org/spreadsheetml/2006/main" count="338" uniqueCount="153">
  <si>
    <t>rank</t>
  </si>
  <si>
    <t>bifolio_global</t>
  </si>
  <si>
    <t>hellinger</t>
  </si>
  <si>
    <t>folio_1</t>
  </si>
  <si>
    <t>folio_2</t>
  </si>
  <si>
    <t>n_folios</t>
  </si>
  <si>
    <t>majority_hand</t>
  </si>
  <si>
    <t>majority_lang_rz</t>
  </si>
  <si>
    <t>majority_lang_currier</t>
  </si>
  <si>
    <t>1a</t>
  </si>
  <si>
    <t>A</t>
  </si>
  <si>
    <t>Ae</t>
  </si>
  <si>
    <t>3a</t>
  </si>
  <si>
    <t>B</t>
  </si>
  <si>
    <t>2a</t>
  </si>
  <si>
    <t>C</t>
  </si>
  <si>
    <t>Bs</t>
  </si>
  <si>
    <t>5a</t>
  </si>
  <si>
    <t>4a</t>
  </si>
  <si>
    <t>Ce</t>
  </si>
  <si>
    <t>-</t>
  </si>
  <si>
    <t>Bb</t>
  </si>
  <si>
    <t>l1</t>
  </si>
  <si>
    <t>js</t>
  </si>
  <si>
    <t>consensus</t>
  </si>
  <si>
    <t>folio1</t>
  </si>
  <si>
    <t>folio2</t>
  </si>
  <si>
    <t>notes</t>
  </si>
  <si>
    <t>section</t>
  </si>
  <si>
    <t>hand</t>
  </si>
  <si>
    <t>rz_lang</t>
  </si>
  <si>
    <t>currier_lang</t>
  </si>
  <si>
    <t>Herbal A1</t>
  </si>
  <si>
    <t>Herbal A2</t>
  </si>
  <si>
    <t>Pharmaceutical</t>
  </si>
  <si>
    <t>Cosmological/Astrological</t>
  </si>
  <si>
    <t>Herbal B</t>
  </si>
  <si>
    <t>Biological</t>
  </si>
  <si>
    <t>Rosette</t>
  </si>
  <si>
    <t>Stars</t>
  </si>
  <si>
    <t>test</t>
  </si>
  <si>
    <t xml:space="preserve">    \ 1&amp;1&amp;f1, f8&amp;Herbal A1&amp;A&amp;A&amp;1\\</t>
  </si>
  <si>
    <t xml:space="preserve">    \ 2&amp;19&amp;f35, f38&amp;Herbal A1&amp;A&amp;A&amp;1\\</t>
  </si>
  <si>
    <t xml:space="preserve">    \ 3&amp;22&amp;f42, f47&amp;Herbal A1&amp;A&amp;A&amp;1\\</t>
  </si>
  <si>
    <t xml:space="preserve">    \ 4&amp;15&amp;f27, f30&amp;Herbal A1&amp;A&amp;A&amp;1\\</t>
  </si>
  <si>
    <t xml:space="preserve">    \ 5&amp;25&amp;f49, f56&amp;Herbal A1&amp;A&amp;A&amp;1\\</t>
  </si>
  <si>
    <t xml:space="preserve">    \ 6&amp;12&amp;f20, f21&amp;Herbal A1&amp;A&amp;A&amp;1\\</t>
  </si>
  <si>
    <t xml:space="preserve">    \ 7&amp;2&amp;f2, f7&amp;Herbal A1&amp;A&amp;A&amp;1\\</t>
  </si>
  <si>
    <t xml:space="preserve">    \ 8&amp;13&amp;f25, f32&amp;Herbal A1&amp;A&amp;A&amp;1\\</t>
  </si>
  <si>
    <t xml:space="preserve">    \ 9&amp;16&amp;f28, f29&amp;Herbal A1&amp;A&amp;A&amp;1\\</t>
  </si>
  <si>
    <t xml:space="preserve">    \ 10&amp;4&amp;f4, f5&amp;Herbal A1&amp;A&amp;A&amp;1\\</t>
  </si>
  <si>
    <t xml:space="preserve">    \ 11&amp;5&amp;f9, f16&amp;Herbal A2&amp;A&amp;A&amp;1\\</t>
  </si>
  <si>
    <t xml:space="preserve">    \ 12&amp;20&amp;f36, f37&amp;Herbal A2&amp;A&amp;A&amp;1\\</t>
  </si>
  <si>
    <t xml:space="preserve">    \ 13&amp;11&amp;f19, f22&amp;Herbal A2&amp;A&amp;A&amp;1\\</t>
  </si>
  <si>
    <t xml:space="preserve">    \ 14&amp;6&amp;f10, f15&amp;Herbal A2&amp;A&amp;A&amp;1\\</t>
  </si>
  <si>
    <t xml:space="preserve">    \ 15&amp;7&amp;f11, f14&amp;Herbal A2&amp;A&amp;A&amp;1\\</t>
  </si>
  <si>
    <t xml:space="preserve">    \ 16&amp;8&amp;f13, f0&amp;Herbal A2&amp;A&amp;A&amp;1\\</t>
  </si>
  <si>
    <t xml:space="preserve">    \ 17&amp;10&amp;f18, f23&amp;Herbal A2&amp;A&amp;A&amp;1\\</t>
  </si>
  <si>
    <t xml:space="preserve">    \ 18&amp;24&amp;f44, f45&amp;Herbal A2&amp;A&amp;A&amp;1\\</t>
  </si>
  <si>
    <t xml:space="preserve">    \ 19&amp;9&amp;f17, f24&amp;Herbal A2&amp;A&amp;A&amp;1\\</t>
  </si>
  <si>
    <t xml:space="preserve">    \ 20&amp;3&amp;f3, f6&amp;Herbal A2&amp;A&amp;A&amp;1\\</t>
  </si>
  <si>
    <t xml:space="preserve">    \ 21&amp;28&amp;f52, f53&amp;Herbal A2&amp;A&amp;A&amp;1\\</t>
  </si>
  <si>
    <t xml:space="preserve">    \ 22&amp;27&amp;f51, f54&amp;Herbal A2&amp;A&amp;A&amp;1\\</t>
  </si>
  <si>
    <t xml:space="preserve">    \ 23&amp;43&amp;f93, f96&amp;Pharmaceutical&amp;A&amp;Ae&amp;1\\</t>
  </si>
  <si>
    <t xml:space="preserve">    \ 24&amp;41&amp;f87, f90&amp;Pharmaceutical&amp;A&amp;Ae&amp;1\\</t>
  </si>
  <si>
    <t xml:space="preserve">    \ 25&amp;46&amp;f100, f101&amp;Pharmaceutical&amp;A&amp;Ae&amp;1\\</t>
  </si>
  <si>
    <t xml:space="preserve">    \ 26&amp;45&amp;f99, f102&amp;Pharmaceutical&amp;A&amp;Ae&amp;1\\</t>
  </si>
  <si>
    <t xml:space="preserve">    \ 27&amp;42&amp;f88, f89&amp;Pharmaceutical&amp;A&amp;Ae&amp;1\\</t>
  </si>
  <si>
    <t xml:space="preserve">    \ 28&amp;31&amp;f67, f68&amp;Cosmological/Astrological&amp;-&amp;Ce&amp;4\\</t>
  </si>
  <si>
    <t xml:space="preserve">    \ 29&amp;32&amp;f69, f70&amp;Cosmological/Astrological&amp;-&amp;Ce&amp;4\\</t>
  </si>
  <si>
    <t xml:space="preserve">    \ 30&amp;33&amp;f71, f72&amp;Cosmological/Astrological&amp;-&amp;Ce&amp;4\\</t>
  </si>
  <si>
    <t xml:space="preserve">    \ 31&amp;34&amp;f73, f0&amp;Cosmological/Astrological&amp;-&amp;Bs&amp;4\\</t>
  </si>
  <si>
    <t xml:space="preserve">    \ 32&amp;30&amp;f58, f65&amp;Cosmological/Astrological&amp;A&amp;A&amp;3\\</t>
  </si>
  <si>
    <t xml:space="preserve">    \ 33&amp;29&amp;f57, f66&amp;Cosmological/Astrological&amp;B&amp;C&amp;5\\</t>
  </si>
  <si>
    <t xml:space="preserve">    \ 34&amp;14&amp;f26, f31&amp;Herbal B&amp;B&amp;B&amp;2\\</t>
  </si>
  <si>
    <t xml:space="preserve">    \ 35&amp;21&amp;f41, f48&amp;Herbal B&amp;B&amp;B&amp;5\\</t>
  </si>
  <si>
    <t xml:space="preserve">    \ 36&amp;23&amp;f43, f46&amp;Herbal B&amp;B&amp;Bs&amp;2\\</t>
  </si>
  <si>
    <t xml:space="preserve">    \ 37&amp;18&amp;f34, f39&amp;Herbal B&amp;B&amp;B&amp;2\\</t>
  </si>
  <si>
    <t xml:space="preserve">    \ 38&amp;17&amp;f33, f40&amp;Herbal B&amp;B&amp;C&amp;2\\</t>
  </si>
  <si>
    <t xml:space="preserve">    \ 39&amp;26&amp;f50, f55&amp;Herbal B&amp;B&amp;C&amp;2\\</t>
  </si>
  <si>
    <t xml:space="preserve">    \ 40&amp;44&amp;f94, f95&amp;Herbal B&amp;B&amp;B&amp;3\\</t>
  </si>
  <si>
    <t xml:space="preserve">    \ 41&amp;36&amp;f76, f83&amp;Biological&amp;B&amp;Bb&amp;2\\</t>
  </si>
  <si>
    <t xml:space="preserve">    \ 42&amp;35&amp;f75, f84&amp;Biological&amp;B&amp;Bb&amp;2\\</t>
  </si>
  <si>
    <t xml:space="preserve">    \ 43&amp;38&amp;f78, f81&amp;Biological&amp;B&amp;Bb&amp;2\\</t>
  </si>
  <si>
    <t xml:space="preserve">    \ 44&amp;39&amp;f79, f80&amp;Biological&amp;B&amp;Bb&amp;2\\</t>
  </si>
  <si>
    <t xml:space="preserve">    \ 45&amp;37&amp;f77, f82&amp;Biological&amp;B&amp;Bb&amp;2\\</t>
  </si>
  <si>
    <t xml:space="preserve">    \ 46&amp;40&amp;f85, f86&amp;Rosette&amp;B&amp;B&amp;2\\</t>
  </si>
  <si>
    <t xml:space="preserve">    \ 47&amp;49&amp;f105, f114&amp;Stars&amp;B&amp;Bs&amp;3\\</t>
  </si>
  <si>
    <t xml:space="preserve">    \ 48&amp;48&amp;f104, f115&amp;Stars&amp;B&amp;Bs&amp;3\\</t>
  </si>
  <si>
    <t xml:space="preserve">    \ 49&amp;50&amp;f106, f113&amp;Stars&amp;B&amp;Bs&amp;3\\</t>
  </si>
  <si>
    <t xml:space="preserve">    \ 50&amp;51&amp;f107, f112&amp;Stars&amp;B&amp;Bs&amp;3\\</t>
  </si>
  <si>
    <t xml:space="preserve">    \ 51&amp;52&amp;f108, f111&amp;Stars&amp;B&amp;Bs&amp;3\\</t>
  </si>
  <si>
    <t xml:space="preserve">    \ 52&amp;47&amp;f103, f116&amp;Stars&amp;B&amp;B&amp;3\\</t>
  </si>
  <si>
    <t>test_plaintext</t>
  </si>
  <si>
    <t>comp</t>
  </si>
  <si>
    <t>hellinger_folia</t>
  </si>
  <si>
    <t>js_folia</t>
  </si>
  <si>
    <t>l1_folia</t>
  </si>
  <si>
    <t>consensus_folia</t>
  </si>
  <si>
    <t xml:space="preserve">    \ 1&amp;f1, f8&amp;f1, f8&amp;f1, f8&amp;f1, f8\\</t>
  </si>
  <si>
    <t xml:space="preserve">    \ 2&amp;f35, f38&amp;f35, f38&amp;f35, f38&amp;f35, f38\\</t>
  </si>
  <si>
    <t xml:space="preserve">    \ 3&amp;f42, f47&amp;f42, f47&amp;f42, f47&amp;f42, f47\\</t>
  </si>
  <si>
    <t xml:space="preserve">    \ 4&amp;f27, f30&amp;f27, f30&amp;f27, f30&amp;f27, f30\\</t>
  </si>
  <si>
    <t xml:space="preserve">    \ 5&amp;f49, f56&amp;f49, f56&amp;f2, f7&amp;f49, f56\\</t>
  </si>
  <si>
    <t xml:space="preserve">    \ 6&amp;f20, f21&amp;f20, f21&amp;f49, f56&amp;f20, f21\\</t>
  </si>
  <si>
    <t xml:space="preserve">    \ 7&amp;f28, f29&amp;f4, f5&amp;f20, f21&amp;f2, f7\\</t>
  </si>
  <si>
    <t xml:space="preserve">    \ 8&amp;f25, f32&amp;f28, f29&amp;f25, f32&amp;f25, f32\\</t>
  </si>
  <si>
    <t xml:space="preserve">    \ 9&amp;f2, f7&amp;f25, f32&amp;f28, f29&amp;f28, f29\\</t>
  </si>
  <si>
    <t xml:space="preserve">    \ 10&amp;f4, f5&amp;f2, f7&amp;f4, f5&amp;f4, f5\\</t>
  </si>
  <si>
    <t xml:space="preserve">    \ 11&amp;f3, f6&amp;f10, f15&amp;f88, f89&amp;f9, f16\\</t>
  </si>
  <si>
    <t xml:space="preserve">    \ 12&amp;f17, f24&amp;f11, f14&amp;f99, f102&amp;f36, f37\\</t>
  </si>
  <si>
    <t xml:space="preserve">    \ 13&amp;f88, f89&amp;f19, f22&amp;f100, f101&amp;f19, f22\\</t>
  </si>
  <si>
    <t xml:space="preserve">    \ 14&amp;f99, f102&amp;f36, f37&amp;f87, f90&amp;f10, f15\\</t>
  </si>
  <si>
    <t xml:space="preserve">    \ 15&amp;f100, f101&amp;f9, f16&amp;f93, f96&amp;f11, f14\\</t>
  </si>
  <si>
    <t xml:space="preserve">    \ 16&amp;f87, f90&amp;f18, f23&amp;f51, f54&amp;f13, f\\</t>
  </si>
  <si>
    <t xml:space="preserve">    \ 17&amp;f93, f96&amp;f13, f&amp;f52, f53&amp;f18, f23\\</t>
  </si>
  <si>
    <t xml:space="preserve">    \ 18&amp;f51, f54&amp;f44, f45&amp;f9, f16&amp;f44, f45\\</t>
  </si>
  <si>
    <t xml:space="preserve">    \ 19&amp;f52, f53&amp;f17, f24&amp;f36, f37&amp;f17, f24\\</t>
  </si>
  <si>
    <t xml:space="preserve">    \ 20&amp;f44, f45&amp;f3, f6&amp;f19, f22&amp;f3, f6\\</t>
  </si>
  <si>
    <t xml:space="preserve">    \ 21&amp;f18, f23&amp;f52, f53&amp;f10, f15&amp;f52, f53\\</t>
  </si>
  <si>
    <t xml:space="preserve">    \ 22&amp;f13, f&amp;f51, f54&amp;f11, f14&amp;f51, f54\\</t>
  </si>
  <si>
    <t xml:space="preserve">    \ 23&amp;f11, f14&amp;f93, f96&amp;f13, f&amp;f93, f96\\</t>
  </si>
  <si>
    <t xml:space="preserve">    \ 24&amp;f10, f15&amp;f87, f90&amp;f18, f23&amp;f87, f90\\</t>
  </si>
  <si>
    <t xml:space="preserve">    \ 25&amp;f36, f37&amp;f88, f89&amp;f44, f45&amp;f100, f101\\</t>
  </si>
  <si>
    <t xml:space="preserve">    \ 26&amp;f19, f22&amp;f100, f101&amp;f3, f6&amp;f99, f102\\</t>
  </si>
  <si>
    <t xml:space="preserve">    \ 27&amp;f9, f16&amp;f99, f102&amp;f17, f24&amp;f88, f89\\</t>
  </si>
  <si>
    <t xml:space="preserve">    \ 28&amp;f94, f95&amp;f67, f68&amp;f73, f&amp;f67, f68\\</t>
  </si>
  <si>
    <t xml:space="preserve">    \ 29&amp;f50, f55&amp;f58, f65&amp;f71, f72&amp;f69, f70\\</t>
  </si>
  <si>
    <t xml:space="preserve">    \ 30&amp;f33, f40&amp;f69, f70&amp;f69, f70&amp;f71, f72\\</t>
  </si>
  <si>
    <t xml:space="preserve">    \ 31&amp;f34, f39&amp;f71, f72&amp;f58, f65&amp;f73, f\\</t>
  </si>
  <si>
    <t xml:space="preserve">    \ 32&amp;f43, f46&amp;f73, f&amp;f67, f68&amp;f58, f65\\</t>
  </si>
  <si>
    <t xml:space="preserve">    \ 33&amp;f41, f48&amp;f57, f66&amp;f57, f66&amp;f57, f66\\</t>
  </si>
  <si>
    <t xml:space="preserve">    \ 34&amp;f26, f31&amp;f26, f31&amp;f26, f31&amp;f26, f31\\</t>
  </si>
  <si>
    <t xml:space="preserve">    \ 35&amp;f57, f66&amp;f41, f48&amp;f41, f48&amp;f41, f48\\</t>
  </si>
  <si>
    <t xml:space="preserve">    \ 36&amp;f67, f68&amp;f43, f46&amp;f43, f46&amp;f43, f46\\</t>
  </si>
  <si>
    <t xml:space="preserve">    \ 37&amp;f73, f&amp;f34, f39&amp;f34, f39&amp;f34, f39\\</t>
  </si>
  <si>
    <t xml:space="preserve">    \ 38&amp;f71, f72&amp;f33, f40&amp;f33, f40&amp;f33, f40\\</t>
  </si>
  <si>
    <t xml:space="preserve">    \ 39&amp;f69, f70&amp;f50, f55&amp;f50, f55&amp;f50, f55\\</t>
  </si>
  <si>
    <t xml:space="preserve">    \ 40&amp;f58, f65&amp;f94, f95&amp;f94, f95&amp;f94, f95\\</t>
  </si>
  <si>
    <t xml:space="preserve">    \ 41&amp;f85, f86&amp;f85, f86&amp;f85, f86&amp;f76, f83\\</t>
  </si>
  <si>
    <t xml:space="preserve">    \ 42&amp;f105, f114&amp;f105, f114&amp;f105, f114&amp;f75, f84\\</t>
  </si>
  <si>
    <t xml:space="preserve">    \ 43&amp;f104, f115&amp;f104, f115&amp;f104, f115&amp;f78, f81\\</t>
  </si>
  <si>
    <t xml:space="preserve">    \ 44&amp;f106, f113&amp;f106, f113&amp;f106, f113&amp;f79, f80\\</t>
  </si>
  <si>
    <t xml:space="preserve">    \ 45&amp;f107, f112&amp;f107, f112&amp;f107, f112&amp;f77, f82\\</t>
  </si>
  <si>
    <t xml:space="preserve">    \ 46&amp;f108, f111&amp;f108, f111&amp;f108, f111&amp;f85, f86\\</t>
  </si>
  <si>
    <t xml:space="preserve">    \ 47&amp;f103, f116&amp;f103, f116&amp;f103, f116&amp;f105, f114\\</t>
  </si>
  <si>
    <t xml:space="preserve">    \ 48&amp;f77, f82&amp;f79, f80&amp;f76, f83&amp;f104, f115\\</t>
  </si>
  <si>
    <t xml:space="preserve">    \ 49&amp;f76, f83&amp;f77, f82&amp;f78, f81&amp;f106, f113\\</t>
  </si>
  <si>
    <t xml:space="preserve">    \ 50&amp;f78, f81&amp;f76, f83&amp;f75, f84&amp;f107, f112\\</t>
  </si>
  <si>
    <t xml:space="preserve">    \ 51&amp;f75, f84&amp;f75, f84&amp;f79, f80&amp;f108, f111\\</t>
  </si>
  <si>
    <t xml:space="preserve">    \ 52&amp;f79, f80&amp;f78, f81&amp;f77, f82&amp;f103, f116\\</t>
  </si>
  <si>
    <t>Herbal A3</t>
  </si>
  <si>
    <t>Herbal 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</si>
</sst>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33D0C-D9B3-3046-8495-A3C87EDA2BD8}">
  <dimension ref="A1:W53"/>
  <sheetViews>
    <sheetView tabSelected="1" topLeftCell="A10" zoomScale="99" workbookViewId="0">
      <selection activeCell="I18" sqref="I18"/>
    </sheetView>
  </sheetViews>
  <sheetFormatPr baseColWidth="10" defaultRowHeight="16" x14ac:dyDescent="0.2"/>
  <cols>
    <col min="4" max="5" width="12.33203125" customWidth="1"/>
    <col min="9" max="9" width="14.6640625" customWidth="1"/>
    <col min="13" max="13" width="25.6640625" customWidth="1"/>
    <col min="17" max="17" width="45.5" customWidth="1"/>
    <col min="18" max="18" width="53.6640625" customWidth="1"/>
  </cols>
  <sheetData>
    <row r="1" spans="1:23" x14ac:dyDescent="0.2">
      <c r="A1" t="s">
        <v>0</v>
      </c>
      <c r="B1" t="s">
        <v>2</v>
      </c>
      <c r="C1" t="s">
        <v>95</v>
      </c>
      <c r="D1" t="s">
        <v>23</v>
      </c>
      <c r="E1" t="s">
        <v>96</v>
      </c>
      <c r="F1" t="s">
        <v>22</v>
      </c>
      <c r="G1" t="s">
        <v>97</v>
      </c>
      <c r="H1" t="s">
        <v>24</v>
      </c>
      <c r="I1" t="s">
        <v>98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40</v>
      </c>
      <c r="R1" t="s">
        <v>93</v>
      </c>
      <c r="S1" t="s">
        <v>94</v>
      </c>
    </row>
    <row r="2" spans="1:23" x14ac:dyDescent="0.2">
      <c r="A2">
        <v>1</v>
      </c>
      <c r="B2">
        <v>1</v>
      </c>
      <c r="C2" t="str">
        <f>_xlfn.CONCAT("f",VLOOKUP(B2,Sheet2!A:C,2,FALSE),", f",VLOOKUP(B2,Sheet2!A:C,3,FALSE))</f>
        <v>f1, f8</v>
      </c>
      <c r="D2">
        <v>1</v>
      </c>
      <c r="E2" t="str">
        <f>_xlfn.CONCAT("f",VLOOKUP(D2,Sheet2!A:C,2,FALSE),", f",VLOOKUP(D2,Sheet2!A:C,3,FALSE))</f>
        <v>f1, f8</v>
      </c>
      <c r="F2">
        <v>1</v>
      </c>
      <c r="G2" t="str">
        <f>_xlfn.CONCAT("f",VLOOKUP(F2,Sheet2!A:C,2,FALSE),", f",VLOOKUP(F2,Sheet2!A:C,3,FALSE))</f>
        <v>f1, f8</v>
      </c>
      <c r="H2">
        <v>1</v>
      </c>
      <c r="I2" t="str">
        <f>_xlfn.CONCAT("f",VLOOKUP(H2,Sheet2!A:C,2,FALSE),", f",VLOOKUP(H2,Sheet2!A:C,3,FALSE))</f>
        <v>f1, f8</v>
      </c>
      <c r="J2">
        <f>VLOOKUP(H2,Sheet2!A:C,2,FALSE)</f>
        <v>1</v>
      </c>
      <c r="K2">
        <f>VLOOKUP(H2,Sheet2!A:C,3,FALSE)</f>
        <v>8</v>
      </c>
      <c r="M2" t="s">
        <v>32</v>
      </c>
      <c r="N2">
        <v>1</v>
      </c>
      <c r="O2" t="str">
        <f>VLOOKUP(H2,Sheet2!A:G,6,FALSE)</f>
        <v>A</v>
      </c>
      <c r="P2" t="str">
        <f>VLOOKUP(H2,Sheet2!A:G,7,FALSE)</f>
        <v>A</v>
      </c>
      <c r="R2" t="s">
        <v>41</v>
      </c>
      <c r="S2" t="str">
        <f>_xlfn.CONCAT("    \ ",A2,"&amp;",C2,"&amp;",E2,"&amp;",G2,"&amp;",I2,"\\")</f>
        <v xml:space="preserve">    \ 1&amp;f1, f8&amp;f1, f8&amp;f1, f8&amp;f1, f8\\</v>
      </c>
      <c r="W2" t="s">
        <v>99</v>
      </c>
    </row>
    <row r="3" spans="1:23" x14ac:dyDescent="0.2">
      <c r="A3">
        <v>2</v>
      </c>
      <c r="B3">
        <v>19</v>
      </c>
      <c r="C3" t="str">
        <f>_xlfn.CONCAT("f",VLOOKUP(B3,Sheet2!A:C,2,FALSE),", f",VLOOKUP(B3,Sheet2!A:C,3,FALSE))</f>
        <v>f35, f38</v>
      </c>
      <c r="D3">
        <v>19</v>
      </c>
      <c r="E3" t="str">
        <f>_xlfn.CONCAT("f",VLOOKUP(D3,Sheet2!A:C,2,FALSE),", f",VLOOKUP(D3,Sheet2!A:C,3,FALSE))</f>
        <v>f35, f38</v>
      </c>
      <c r="F3">
        <v>19</v>
      </c>
      <c r="G3" t="str">
        <f>_xlfn.CONCAT("f",VLOOKUP(F3,Sheet2!A:C,2,FALSE),", f",VLOOKUP(F3,Sheet2!A:C,3,FALSE))</f>
        <v>f35, f38</v>
      </c>
      <c r="H3">
        <v>19</v>
      </c>
      <c r="I3" t="str">
        <f>_xlfn.CONCAT("f",VLOOKUP(H3,Sheet2!A:C,2,FALSE),", f",VLOOKUP(H3,Sheet2!A:C,3,FALSE))</f>
        <v>f35, f38</v>
      </c>
      <c r="J3">
        <f>VLOOKUP(H3,Sheet2!A:C,2,FALSE)</f>
        <v>35</v>
      </c>
      <c r="K3">
        <f>VLOOKUP(H3,Sheet2!A:C,3,FALSE)</f>
        <v>38</v>
      </c>
      <c r="M3" t="s">
        <v>32</v>
      </c>
      <c r="N3">
        <v>1</v>
      </c>
      <c r="O3" t="str">
        <f>VLOOKUP(H3,Sheet2!A:G,6,FALSE)</f>
        <v>A</v>
      </c>
      <c r="P3" t="str">
        <f>VLOOKUP(H3,Sheet2!A:G,7,FALSE)</f>
        <v>A</v>
      </c>
      <c r="Q3" t="str">
        <f t="shared" ref="Q3:Q41" si="0">_xlfn.CONCAT("    \ ",A3,"&amp;",H3,"&amp;","f",J3,", f",K3,"&amp;",M3,"&amp;",P3,"&amp;",O3,"&amp;",N3,"\\")</f>
        <v xml:space="preserve">    \ 2&amp;19&amp;f35, f38&amp;Herbal A1&amp;A&amp;A&amp;1\\</v>
      </c>
      <c r="R3" t="s">
        <v>42</v>
      </c>
      <c r="S3" t="str">
        <f t="shared" ref="S3:S53" si="1">_xlfn.CONCAT("    \ ",A3,"&amp;",C3,"&amp;",E3,"&amp;",G3,"&amp;",I3,"\\")</f>
        <v xml:space="preserve">    \ 2&amp;f35, f38&amp;f35, f38&amp;f35, f38&amp;f35, f38\\</v>
      </c>
      <c r="W3" t="s">
        <v>100</v>
      </c>
    </row>
    <row r="4" spans="1:23" x14ac:dyDescent="0.2">
      <c r="A4">
        <v>3</v>
      </c>
      <c r="B4">
        <v>22</v>
      </c>
      <c r="C4" t="str">
        <f>_xlfn.CONCAT("f",VLOOKUP(B4,Sheet2!A:C,2,FALSE),", f",VLOOKUP(B4,Sheet2!A:C,3,FALSE))</f>
        <v>f42, f47</v>
      </c>
      <c r="D4">
        <v>22</v>
      </c>
      <c r="E4" t="str">
        <f>_xlfn.CONCAT("f",VLOOKUP(D4,Sheet2!A:C,2,FALSE),", f",VLOOKUP(D4,Sheet2!A:C,3,FALSE))</f>
        <v>f42, f47</v>
      </c>
      <c r="F4">
        <v>22</v>
      </c>
      <c r="G4" t="str">
        <f>_xlfn.CONCAT("f",VLOOKUP(F4,Sheet2!A:C,2,FALSE),", f",VLOOKUP(F4,Sheet2!A:C,3,FALSE))</f>
        <v>f42, f47</v>
      </c>
      <c r="H4">
        <v>22</v>
      </c>
      <c r="I4" t="str">
        <f>_xlfn.CONCAT("f",VLOOKUP(H4,Sheet2!A:C,2,FALSE),", f",VLOOKUP(H4,Sheet2!A:C,3,FALSE))</f>
        <v>f42, f47</v>
      </c>
      <c r="J4">
        <f>VLOOKUP(H4,Sheet2!A:C,2,FALSE)</f>
        <v>42</v>
      </c>
      <c r="K4">
        <f>VLOOKUP(H4,Sheet2!A:C,3,FALSE)</f>
        <v>47</v>
      </c>
      <c r="M4" t="s">
        <v>32</v>
      </c>
      <c r="N4">
        <v>1</v>
      </c>
      <c r="O4" t="str">
        <f>VLOOKUP(H4,Sheet2!A:G,6,FALSE)</f>
        <v>A</v>
      </c>
      <c r="P4" t="str">
        <f>VLOOKUP(H4,Sheet2!A:G,7,FALSE)</f>
        <v>A</v>
      </c>
      <c r="Q4" t="str">
        <f t="shared" si="0"/>
        <v xml:space="preserve">    \ 3&amp;22&amp;f42, f47&amp;Herbal A1&amp;A&amp;A&amp;1\\</v>
      </c>
      <c r="R4" t="s">
        <v>43</v>
      </c>
      <c r="S4" t="str">
        <f t="shared" si="1"/>
        <v xml:space="preserve">    \ 3&amp;f42, f47&amp;f42, f47&amp;f42, f47&amp;f42, f47\\</v>
      </c>
      <c r="W4" t="s">
        <v>101</v>
      </c>
    </row>
    <row r="5" spans="1:23" x14ac:dyDescent="0.2">
      <c r="A5">
        <v>4</v>
      </c>
      <c r="B5">
        <v>15</v>
      </c>
      <c r="C5" t="str">
        <f>_xlfn.CONCAT("f",VLOOKUP(B5,Sheet2!A:C,2,FALSE),", f",VLOOKUP(B5,Sheet2!A:C,3,FALSE))</f>
        <v>f27, f30</v>
      </c>
      <c r="D5">
        <v>15</v>
      </c>
      <c r="E5" t="str">
        <f>_xlfn.CONCAT("f",VLOOKUP(D5,Sheet2!A:C,2,FALSE),", f",VLOOKUP(D5,Sheet2!A:C,3,FALSE))</f>
        <v>f27, f30</v>
      </c>
      <c r="F5">
        <v>15</v>
      </c>
      <c r="G5" t="str">
        <f>_xlfn.CONCAT("f",VLOOKUP(F5,Sheet2!A:C,2,FALSE),", f",VLOOKUP(F5,Sheet2!A:C,3,FALSE))</f>
        <v>f27, f30</v>
      </c>
      <c r="H5">
        <v>15</v>
      </c>
      <c r="I5" t="str">
        <f>_xlfn.CONCAT("f",VLOOKUP(H5,Sheet2!A:C,2,FALSE),", f",VLOOKUP(H5,Sheet2!A:C,3,FALSE))</f>
        <v>f27, f30</v>
      </c>
      <c r="J5">
        <f>VLOOKUP(H5,Sheet2!A:C,2,FALSE)</f>
        <v>27</v>
      </c>
      <c r="K5">
        <f>VLOOKUP(H5,Sheet2!A:C,3,FALSE)</f>
        <v>30</v>
      </c>
      <c r="M5" t="s">
        <v>32</v>
      </c>
      <c r="N5">
        <v>1</v>
      </c>
      <c r="O5" t="str">
        <f>VLOOKUP(H5,Sheet2!A:G,6,FALSE)</f>
        <v>A</v>
      </c>
      <c r="P5" t="str">
        <f>VLOOKUP(H5,Sheet2!A:G,7,FALSE)</f>
        <v>A</v>
      </c>
      <c r="Q5" t="str">
        <f t="shared" si="0"/>
        <v xml:space="preserve">    \ 4&amp;15&amp;f27, f30&amp;Herbal A1&amp;A&amp;A&amp;1\\</v>
      </c>
      <c r="R5" t="s">
        <v>44</v>
      </c>
      <c r="S5" t="str">
        <f t="shared" si="1"/>
        <v xml:space="preserve">    \ 4&amp;f27, f30&amp;f27, f30&amp;f27, f30&amp;f27, f30\\</v>
      </c>
      <c r="W5" t="s">
        <v>102</v>
      </c>
    </row>
    <row r="6" spans="1:23" x14ac:dyDescent="0.2">
      <c r="A6">
        <v>5</v>
      </c>
      <c r="B6">
        <v>25</v>
      </c>
      <c r="C6" t="str">
        <f>_xlfn.CONCAT("f",VLOOKUP(B6,Sheet2!A:C,2,FALSE),", f",VLOOKUP(B6,Sheet2!A:C,3,FALSE))</f>
        <v>f49, f56</v>
      </c>
      <c r="D6">
        <v>25</v>
      </c>
      <c r="E6" t="str">
        <f>_xlfn.CONCAT("f",VLOOKUP(D6,Sheet2!A:C,2,FALSE),", f",VLOOKUP(D6,Sheet2!A:C,3,FALSE))</f>
        <v>f49, f56</v>
      </c>
      <c r="F6">
        <v>2</v>
      </c>
      <c r="G6" t="str">
        <f>_xlfn.CONCAT("f",VLOOKUP(F6,Sheet2!A:C,2,FALSE),", f",VLOOKUP(F6,Sheet2!A:C,3,FALSE))</f>
        <v>f2, f7</v>
      </c>
      <c r="H6">
        <v>2</v>
      </c>
      <c r="I6" t="str">
        <f>_xlfn.CONCAT("f",VLOOKUP(H6,Sheet2!A:C,2,FALSE),", f",VLOOKUP(H6,Sheet2!A:C,3,FALSE))</f>
        <v>f2, f7</v>
      </c>
      <c r="J6">
        <f>VLOOKUP(H6,Sheet2!A:C,2,FALSE)</f>
        <v>2</v>
      </c>
      <c r="K6">
        <f>VLOOKUP(H6,Sheet2!A:C,3,FALSE)</f>
        <v>7</v>
      </c>
      <c r="M6" t="s">
        <v>33</v>
      </c>
      <c r="N6">
        <v>1</v>
      </c>
      <c r="O6" t="str">
        <f>VLOOKUP(H6,Sheet2!A:G,6,FALSE)</f>
        <v>A</v>
      </c>
      <c r="P6" t="str">
        <f>VLOOKUP(H6,Sheet2!A:G,7,FALSE)</f>
        <v>A</v>
      </c>
      <c r="Q6" t="str">
        <f t="shared" si="0"/>
        <v xml:space="preserve">    \ 5&amp;2&amp;f2, f7&amp;Herbal A2&amp;A&amp;A&amp;1\\</v>
      </c>
      <c r="R6" t="s">
        <v>45</v>
      </c>
      <c r="S6" t="str">
        <f t="shared" si="1"/>
        <v xml:space="preserve">    \ 5&amp;f49, f56&amp;f49, f56&amp;f2, f7&amp;f2, f7\\</v>
      </c>
      <c r="W6" t="s">
        <v>103</v>
      </c>
    </row>
    <row r="7" spans="1:23" x14ac:dyDescent="0.2">
      <c r="A7">
        <v>6</v>
      </c>
      <c r="B7">
        <v>12</v>
      </c>
      <c r="C7" t="str">
        <f>_xlfn.CONCAT("f",VLOOKUP(B7,Sheet2!A:C,2,FALSE),", f",VLOOKUP(B7,Sheet2!A:C,3,FALSE))</f>
        <v>f20, f21</v>
      </c>
      <c r="D7">
        <v>12</v>
      </c>
      <c r="E7" t="str">
        <f>_xlfn.CONCAT("f",VLOOKUP(D7,Sheet2!A:C,2,FALSE),", f",VLOOKUP(D7,Sheet2!A:C,3,FALSE))</f>
        <v>f20, f21</v>
      </c>
      <c r="F7">
        <v>25</v>
      </c>
      <c r="G7" t="str">
        <f>_xlfn.CONCAT("f",VLOOKUP(F7,Sheet2!A:C,2,FALSE),", f",VLOOKUP(F7,Sheet2!A:C,3,FALSE))</f>
        <v>f49, f56</v>
      </c>
      <c r="H7">
        <v>25</v>
      </c>
      <c r="I7" t="str">
        <f>_xlfn.CONCAT("f",VLOOKUP(H7,Sheet2!A:C,2,FALSE),", f",VLOOKUP(H7,Sheet2!A:C,3,FALSE))</f>
        <v>f49, f56</v>
      </c>
      <c r="J7">
        <f>VLOOKUP(H7,Sheet2!A:C,2,FALSE)</f>
        <v>49</v>
      </c>
      <c r="K7">
        <f>VLOOKUP(H7,Sheet2!A:C,3,FALSE)</f>
        <v>56</v>
      </c>
      <c r="M7" t="s">
        <v>33</v>
      </c>
      <c r="N7">
        <v>1</v>
      </c>
      <c r="O7" t="str">
        <f>VLOOKUP(H7,Sheet2!A:G,6,FALSE)</f>
        <v>A</v>
      </c>
      <c r="P7" t="str">
        <f>VLOOKUP(H7,Sheet2!A:G,7,FALSE)</f>
        <v>A</v>
      </c>
      <c r="Q7" t="str">
        <f t="shared" si="0"/>
        <v xml:space="preserve">    \ 6&amp;25&amp;f49, f56&amp;Herbal A2&amp;A&amp;A&amp;1\\</v>
      </c>
      <c r="R7" t="s">
        <v>46</v>
      </c>
      <c r="S7" t="str">
        <f t="shared" si="1"/>
        <v xml:space="preserve">    \ 6&amp;f20, f21&amp;f20, f21&amp;f49, f56&amp;f49, f56\\</v>
      </c>
      <c r="W7" t="s">
        <v>104</v>
      </c>
    </row>
    <row r="8" spans="1:23" x14ac:dyDescent="0.2">
      <c r="A8">
        <v>7</v>
      </c>
      <c r="B8">
        <v>16</v>
      </c>
      <c r="C8" t="str">
        <f>_xlfn.CONCAT("f",VLOOKUP(B8,Sheet2!A:C,2,FALSE),", f",VLOOKUP(B8,Sheet2!A:C,3,FALSE))</f>
        <v>f28, f29</v>
      </c>
      <c r="D8">
        <v>4</v>
      </c>
      <c r="E8" t="str">
        <f>_xlfn.CONCAT("f",VLOOKUP(D8,Sheet2!A:C,2,FALSE),", f",VLOOKUP(D8,Sheet2!A:C,3,FALSE))</f>
        <v>f4, f5</v>
      </c>
      <c r="F8">
        <v>12</v>
      </c>
      <c r="G8" t="str">
        <f>_xlfn.CONCAT("f",VLOOKUP(F8,Sheet2!A:C,2,FALSE),", f",VLOOKUP(F8,Sheet2!A:C,3,FALSE))</f>
        <v>f20, f21</v>
      </c>
      <c r="H8">
        <v>12</v>
      </c>
      <c r="I8" t="str">
        <f>_xlfn.CONCAT("f",VLOOKUP(H8,Sheet2!A:C,2,FALSE),", f",VLOOKUP(H8,Sheet2!A:C,3,FALSE))</f>
        <v>f20, f21</v>
      </c>
      <c r="J8">
        <f>VLOOKUP(H8,Sheet2!A:C,2,FALSE)</f>
        <v>20</v>
      </c>
      <c r="K8">
        <f>VLOOKUP(H8,Sheet2!A:C,3,FALSE)</f>
        <v>21</v>
      </c>
      <c r="M8" t="s">
        <v>33</v>
      </c>
      <c r="N8">
        <v>1</v>
      </c>
      <c r="O8" t="str">
        <f>VLOOKUP(H8,Sheet2!A:G,6,FALSE)</f>
        <v>A</v>
      </c>
      <c r="P8" t="str">
        <f>VLOOKUP(H8,Sheet2!A:G,7,FALSE)</f>
        <v>A</v>
      </c>
      <c r="Q8" t="str">
        <f t="shared" si="0"/>
        <v xml:space="preserve">    \ 7&amp;12&amp;f20, f21&amp;Herbal A2&amp;A&amp;A&amp;1\\</v>
      </c>
      <c r="R8" t="s">
        <v>47</v>
      </c>
      <c r="S8" t="str">
        <f t="shared" si="1"/>
        <v xml:space="preserve">    \ 7&amp;f28, f29&amp;f4, f5&amp;f20, f21&amp;f20, f21\\</v>
      </c>
      <c r="W8" t="s">
        <v>105</v>
      </c>
    </row>
    <row r="9" spans="1:23" x14ac:dyDescent="0.2">
      <c r="A9">
        <v>8</v>
      </c>
      <c r="B9">
        <v>13</v>
      </c>
      <c r="C9" t="str">
        <f>_xlfn.CONCAT("f",VLOOKUP(B9,Sheet2!A:C,2,FALSE),", f",VLOOKUP(B9,Sheet2!A:C,3,FALSE))</f>
        <v>f25, f32</v>
      </c>
      <c r="D9">
        <v>16</v>
      </c>
      <c r="E9" t="str">
        <f>_xlfn.CONCAT("f",VLOOKUP(D9,Sheet2!A:C,2,FALSE),", f",VLOOKUP(D9,Sheet2!A:C,3,FALSE))</f>
        <v>f28, f29</v>
      </c>
      <c r="F9">
        <v>13</v>
      </c>
      <c r="G9" t="str">
        <f>_xlfn.CONCAT("f",VLOOKUP(F9,Sheet2!A:C,2,FALSE),", f",VLOOKUP(F9,Sheet2!A:C,3,FALSE))</f>
        <v>f25, f32</v>
      </c>
      <c r="H9">
        <v>13</v>
      </c>
      <c r="I9" t="str">
        <f>_xlfn.CONCAT("f",VLOOKUP(H9,Sheet2!A:C,2,FALSE),", f",VLOOKUP(H9,Sheet2!A:C,3,FALSE))</f>
        <v>f25, f32</v>
      </c>
      <c r="J9">
        <f>VLOOKUP(H9,Sheet2!A:C,2,FALSE)</f>
        <v>25</v>
      </c>
      <c r="K9">
        <f>VLOOKUP(H9,Sheet2!A:C,3,FALSE)</f>
        <v>32</v>
      </c>
      <c r="M9" t="s">
        <v>33</v>
      </c>
      <c r="N9">
        <v>1</v>
      </c>
      <c r="O9" t="str">
        <f>VLOOKUP(H9,Sheet2!A:G,6,FALSE)</f>
        <v>A</v>
      </c>
      <c r="P9" t="str">
        <f>VLOOKUP(H9,Sheet2!A:G,7,FALSE)</f>
        <v>A</v>
      </c>
      <c r="Q9" t="str">
        <f t="shared" si="0"/>
        <v xml:space="preserve">    \ 8&amp;13&amp;f25, f32&amp;Herbal A2&amp;A&amp;A&amp;1\\</v>
      </c>
      <c r="R9" t="s">
        <v>48</v>
      </c>
      <c r="S9" t="str">
        <f t="shared" si="1"/>
        <v xml:space="preserve">    \ 8&amp;f25, f32&amp;f28, f29&amp;f25, f32&amp;f25, f32\\</v>
      </c>
      <c r="W9" t="s">
        <v>106</v>
      </c>
    </row>
    <row r="10" spans="1:23" x14ac:dyDescent="0.2">
      <c r="A10">
        <v>9</v>
      </c>
      <c r="B10">
        <v>2</v>
      </c>
      <c r="C10" t="str">
        <f>_xlfn.CONCAT("f",VLOOKUP(B10,Sheet2!A:C,2,FALSE),", f",VLOOKUP(B10,Sheet2!A:C,3,FALSE))</f>
        <v>f2, f7</v>
      </c>
      <c r="D10">
        <v>13</v>
      </c>
      <c r="E10" t="str">
        <f>_xlfn.CONCAT("f",VLOOKUP(D10,Sheet2!A:C,2,FALSE),", f",VLOOKUP(D10,Sheet2!A:C,3,FALSE))</f>
        <v>f25, f32</v>
      </c>
      <c r="F10">
        <v>16</v>
      </c>
      <c r="G10" t="str">
        <f>_xlfn.CONCAT("f",VLOOKUP(F10,Sheet2!A:C,2,FALSE),", f",VLOOKUP(F10,Sheet2!A:C,3,FALSE))</f>
        <v>f28, f29</v>
      </c>
      <c r="H10">
        <v>16</v>
      </c>
      <c r="I10" t="str">
        <f>_xlfn.CONCAT("f",VLOOKUP(H10,Sheet2!A:C,2,FALSE),", f",VLOOKUP(H10,Sheet2!A:C,3,FALSE))</f>
        <v>f28, f29</v>
      </c>
      <c r="J10">
        <f>VLOOKUP(H10,Sheet2!A:C,2,FALSE)</f>
        <v>28</v>
      </c>
      <c r="K10">
        <f>VLOOKUP(H10,Sheet2!A:C,3,FALSE)</f>
        <v>29</v>
      </c>
      <c r="M10" t="s">
        <v>33</v>
      </c>
      <c r="N10">
        <v>1</v>
      </c>
      <c r="O10" t="str">
        <f>VLOOKUP(H10,Sheet2!A:G,6,FALSE)</f>
        <v>A</v>
      </c>
      <c r="P10" t="str">
        <f>VLOOKUP(H10,Sheet2!A:G,7,FALSE)</f>
        <v>A</v>
      </c>
      <c r="Q10" t="str">
        <f t="shared" si="0"/>
        <v xml:space="preserve">    \ 9&amp;16&amp;f28, f29&amp;Herbal A2&amp;A&amp;A&amp;1\\</v>
      </c>
      <c r="R10" t="s">
        <v>49</v>
      </c>
      <c r="S10" t="str">
        <f t="shared" si="1"/>
        <v xml:space="preserve">    \ 9&amp;f2, f7&amp;f25, f32&amp;f28, f29&amp;f28, f29\\</v>
      </c>
      <c r="W10" t="s">
        <v>107</v>
      </c>
    </row>
    <row r="11" spans="1:23" x14ac:dyDescent="0.2">
      <c r="A11">
        <v>10</v>
      </c>
      <c r="B11">
        <v>4</v>
      </c>
      <c r="C11" t="str">
        <f>_xlfn.CONCAT("f",VLOOKUP(B11,Sheet2!A:C,2,FALSE),", f",VLOOKUP(B11,Sheet2!A:C,3,FALSE))</f>
        <v>f4, f5</v>
      </c>
      <c r="D11">
        <v>2</v>
      </c>
      <c r="E11" t="str">
        <f>_xlfn.CONCAT("f",VLOOKUP(D11,Sheet2!A:C,2,FALSE),", f",VLOOKUP(D11,Sheet2!A:C,3,FALSE))</f>
        <v>f2, f7</v>
      </c>
      <c r="F11">
        <v>4</v>
      </c>
      <c r="G11" t="str">
        <f>_xlfn.CONCAT("f",VLOOKUP(F11,Sheet2!A:C,2,FALSE),", f",VLOOKUP(F11,Sheet2!A:C,3,FALSE))</f>
        <v>f4, f5</v>
      </c>
      <c r="H11">
        <v>4</v>
      </c>
      <c r="I11" t="str">
        <f>_xlfn.CONCAT("f",VLOOKUP(H11,Sheet2!A:C,2,FALSE),", f",VLOOKUP(H11,Sheet2!A:C,3,FALSE))</f>
        <v>f4, f5</v>
      </c>
      <c r="J11">
        <f>VLOOKUP(H11,Sheet2!A:C,2,FALSE)</f>
        <v>4</v>
      </c>
      <c r="K11">
        <f>VLOOKUP(H11,Sheet2!A:C,3,FALSE)</f>
        <v>5</v>
      </c>
      <c r="M11" t="s">
        <v>33</v>
      </c>
      <c r="N11">
        <v>1</v>
      </c>
      <c r="O11" t="str">
        <f>VLOOKUP(H11,Sheet2!A:G,6,FALSE)</f>
        <v>A</v>
      </c>
      <c r="P11" t="str">
        <f>VLOOKUP(H11,Sheet2!A:G,7,FALSE)</f>
        <v>A</v>
      </c>
      <c r="Q11" t="str">
        <f t="shared" si="0"/>
        <v xml:space="preserve">    \ 10&amp;4&amp;f4, f5&amp;Herbal A2&amp;A&amp;A&amp;1\\</v>
      </c>
      <c r="R11" t="s">
        <v>50</v>
      </c>
      <c r="S11" t="str">
        <f t="shared" si="1"/>
        <v xml:space="preserve">    \ 10&amp;f4, f5&amp;f2, f7&amp;f4, f5&amp;f4, f5\\</v>
      </c>
      <c r="W11" t="s">
        <v>108</v>
      </c>
    </row>
    <row r="12" spans="1:23" x14ac:dyDescent="0.2">
      <c r="A12">
        <v>11</v>
      </c>
      <c r="B12">
        <v>3</v>
      </c>
      <c r="C12" t="str">
        <f>_xlfn.CONCAT("f",VLOOKUP(B12,Sheet2!A:C,2,FALSE),", f",VLOOKUP(B12,Sheet2!A:C,3,FALSE))</f>
        <v>f3, f6</v>
      </c>
      <c r="D12">
        <v>6</v>
      </c>
      <c r="E12" t="str">
        <f>_xlfn.CONCAT("f",VLOOKUP(D12,Sheet2!A:C,2,FALSE),", f",VLOOKUP(D12,Sheet2!A:C,3,FALSE))</f>
        <v>f10, f15</v>
      </c>
      <c r="F12">
        <v>42</v>
      </c>
      <c r="G12" t="str">
        <f>_xlfn.CONCAT("f",VLOOKUP(F12,Sheet2!A:C,2,FALSE),", f",VLOOKUP(F12,Sheet2!A:C,3,FALSE))</f>
        <v>f88, f89</v>
      </c>
      <c r="H12">
        <v>5</v>
      </c>
      <c r="I12" t="str">
        <f>_xlfn.CONCAT("f",VLOOKUP(H12,Sheet2!A:C,2,FALSE),", f",VLOOKUP(H12,Sheet2!A:C,3,FALSE))</f>
        <v>f9, f16</v>
      </c>
      <c r="J12">
        <f>VLOOKUP(H12,Sheet2!A:C,2,FALSE)</f>
        <v>9</v>
      </c>
      <c r="K12">
        <f>VLOOKUP(H12,Sheet2!A:C,3,FALSE)</f>
        <v>16</v>
      </c>
      <c r="M12" t="s">
        <v>151</v>
      </c>
      <c r="N12">
        <v>1</v>
      </c>
      <c r="O12" t="str">
        <f>VLOOKUP(H12,Sheet2!A:G,6,FALSE)</f>
        <v>A</v>
      </c>
      <c r="P12" t="str">
        <f>VLOOKUP(H12,Sheet2!A:G,7,FALSE)</f>
        <v>A</v>
      </c>
      <c r="Q12" t="str">
        <f t="shared" si="0"/>
        <v xml:space="preserve">    \ 11&amp;5&amp;f9, f16&amp;Herbal A3&amp;A&amp;A&amp;1\\</v>
      </c>
      <c r="R12" t="s">
        <v>51</v>
      </c>
      <c r="S12" t="str">
        <f t="shared" si="1"/>
        <v xml:space="preserve">    \ 11&amp;f3, f6&amp;f10, f15&amp;f88, f89&amp;f9, f16\\</v>
      </c>
      <c r="W12" t="s">
        <v>109</v>
      </c>
    </row>
    <row r="13" spans="1:23" x14ac:dyDescent="0.2">
      <c r="A13">
        <v>12</v>
      </c>
      <c r="B13">
        <v>9</v>
      </c>
      <c r="C13" t="str">
        <f>_xlfn.CONCAT("f",VLOOKUP(B13,Sheet2!A:C,2,FALSE),", f",VLOOKUP(B13,Sheet2!A:C,3,FALSE))</f>
        <v>f17, f24</v>
      </c>
      <c r="D13">
        <v>7</v>
      </c>
      <c r="E13" t="str">
        <f>_xlfn.CONCAT("f",VLOOKUP(D13,Sheet2!A:C,2,FALSE),", f",VLOOKUP(D13,Sheet2!A:C,3,FALSE))</f>
        <v>f11, f14</v>
      </c>
      <c r="F13">
        <v>45</v>
      </c>
      <c r="G13" t="str">
        <f>_xlfn.CONCAT("f",VLOOKUP(F13,Sheet2!A:C,2,FALSE),", f",VLOOKUP(F13,Sheet2!A:C,3,FALSE))</f>
        <v>f99, f102</v>
      </c>
      <c r="H13">
        <v>20</v>
      </c>
      <c r="I13" t="str">
        <f>_xlfn.CONCAT("f",VLOOKUP(H13,Sheet2!A:C,2,FALSE),", f",VLOOKUP(H13,Sheet2!A:C,3,FALSE))</f>
        <v>f36, f37</v>
      </c>
      <c r="J13">
        <f>VLOOKUP(H13,Sheet2!A:C,2,FALSE)</f>
        <v>36</v>
      </c>
      <c r="K13">
        <f>VLOOKUP(H13,Sheet2!A:C,3,FALSE)</f>
        <v>37</v>
      </c>
      <c r="M13" t="s">
        <v>151</v>
      </c>
      <c r="N13">
        <v>1</v>
      </c>
      <c r="O13" t="str">
        <f>VLOOKUP(H13,Sheet2!A:G,6,FALSE)</f>
        <v>A</v>
      </c>
      <c r="P13" t="str">
        <f>VLOOKUP(H13,Sheet2!A:G,7,FALSE)</f>
        <v>A</v>
      </c>
      <c r="Q13" t="str">
        <f t="shared" si="0"/>
        <v xml:space="preserve">    \ 12&amp;20&amp;f36, f37&amp;Herbal A3&amp;A&amp;A&amp;1\\</v>
      </c>
      <c r="R13" t="s">
        <v>52</v>
      </c>
      <c r="S13" t="str">
        <f t="shared" si="1"/>
        <v xml:space="preserve">    \ 12&amp;f17, f24&amp;f11, f14&amp;f99, f102&amp;f36, f37\\</v>
      </c>
      <c r="W13" t="s">
        <v>110</v>
      </c>
    </row>
    <row r="14" spans="1:23" x14ac:dyDescent="0.2">
      <c r="A14">
        <v>13</v>
      </c>
      <c r="B14">
        <v>42</v>
      </c>
      <c r="C14" t="str">
        <f>_xlfn.CONCAT("f",VLOOKUP(B14,Sheet2!A:C,2,FALSE),", f",VLOOKUP(B14,Sheet2!A:C,3,FALSE))</f>
        <v>f88, f89</v>
      </c>
      <c r="D14">
        <v>11</v>
      </c>
      <c r="E14" t="str">
        <f>_xlfn.CONCAT("f",VLOOKUP(D14,Sheet2!A:C,2,FALSE),", f",VLOOKUP(D14,Sheet2!A:C,3,FALSE))</f>
        <v>f19, f22</v>
      </c>
      <c r="F14">
        <v>46</v>
      </c>
      <c r="G14" t="str">
        <f>_xlfn.CONCAT("f",VLOOKUP(F14,Sheet2!A:C,2,FALSE),", f",VLOOKUP(F14,Sheet2!A:C,3,FALSE))</f>
        <v>f100, f101</v>
      </c>
      <c r="H14">
        <v>11</v>
      </c>
      <c r="I14" t="str">
        <f>_xlfn.CONCAT("f",VLOOKUP(H14,Sheet2!A:C,2,FALSE),", f",VLOOKUP(H14,Sheet2!A:C,3,FALSE))</f>
        <v>f19, f22</v>
      </c>
      <c r="J14">
        <f>VLOOKUP(H14,Sheet2!A:C,2,FALSE)</f>
        <v>19</v>
      </c>
      <c r="K14">
        <f>VLOOKUP(H14,Sheet2!A:C,3,FALSE)</f>
        <v>22</v>
      </c>
      <c r="M14" t="s">
        <v>151</v>
      </c>
      <c r="N14">
        <v>1</v>
      </c>
      <c r="O14" t="str">
        <f>VLOOKUP(H14,Sheet2!A:G,6,FALSE)</f>
        <v>A</v>
      </c>
      <c r="P14" t="str">
        <f>VLOOKUP(H14,Sheet2!A:G,7,FALSE)</f>
        <v>A</v>
      </c>
      <c r="Q14" t="str">
        <f t="shared" si="0"/>
        <v xml:space="preserve">    \ 13&amp;11&amp;f19, f22&amp;Herbal A3&amp;A&amp;A&amp;1\\</v>
      </c>
      <c r="R14" t="s">
        <v>53</v>
      </c>
      <c r="S14" t="str">
        <f t="shared" si="1"/>
        <v xml:space="preserve">    \ 13&amp;f88, f89&amp;f19, f22&amp;f100, f101&amp;f19, f22\\</v>
      </c>
      <c r="W14" t="s">
        <v>111</v>
      </c>
    </row>
    <row r="15" spans="1:23" x14ac:dyDescent="0.2">
      <c r="A15">
        <v>14</v>
      </c>
      <c r="B15">
        <v>45</v>
      </c>
      <c r="C15" t="str">
        <f>_xlfn.CONCAT("f",VLOOKUP(B15,Sheet2!A:C,2,FALSE),", f",VLOOKUP(B15,Sheet2!A:C,3,FALSE))</f>
        <v>f99, f102</v>
      </c>
      <c r="D15">
        <v>20</v>
      </c>
      <c r="E15" t="str">
        <f>_xlfn.CONCAT("f",VLOOKUP(D15,Sheet2!A:C,2,FALSE),", f",VLOOKUP(D15,Sheet2!A:C,3,FALSE))</f>
        <v>f36, f37</v>
      </c>
      <c r="F15">
        <v>41</v>
      </c>
      <c r="G15" t="str">
        <f>_xlfn.CONCAT("f",VLOOKUP(F15,Sheet2!A:C,2,FALSE),", f",VLOOKUP(F15,Sheet2!A:C,3,FALSE))</f>
        <v>f87, f90</v>
      </c>
      <c r="H15">
        <v>6</v>
      </c>
      <c r="I15" t="str">
        <f>_xlfn.CONCAT("f",VLOOKUP(H15,Sheet2!A:C,2,FALSE),", f",VLOOKUP(H15,Sheet2!A:C,3,FALSE))</f>
        <v>f10, f15</v>
      </c>
      <c r="J15">
        <f>VLOOKUP(H15,Sheet2!A:C,2,FALSE)</f>
        <v>10</v>
      </c>
      <c r="K15">
        <f>VLOOKUP(H15,Sheet2!A:C,3,FALSE)</f>
        <v>15</v>
      </c>
      <c r="M15" t="s">
        <v>151</v>
      </c>
      <c r="N15">
        <v>1</v>
      </c>
      <c r="O15" t="str">
        <f>VLOOKUP(H15,Sheet2!A:G,6,FALSE)</f>
        <v>A</v>
      </c>
      <c r="P15" t="str">
        <f>VLOOKUP(H15,Sheet2!A:G,7,FALSE)</f>
        <v>A</v>
      </c>
      <c r="Q15" t="str">
        <f t="shared" si="0"/>
        <v xml:space="preserve">    \ 14&amp;6&amp;f10, f15&amp;Herbal A3&amp;A&amp;A&amp;1\\</v>
      </c>
      <c r="R15" t="s">
        <v>54</v>
      </c>
      <c r="S15" t="str">
        <f t="shared" si="1"/>
        <v xml:space="preserve">    \ 14&amp;f99, f102&amp;f36, f37&amp;f87, f90&amp;f10, f15\\</v>
      </c>
      <c r="W15" t="s">
        <v>112</v>
      </c>
    </row>
    <row r="16" spans="1:23" x14ac:dyDescent="0.2">
      <c r="A16">
        <v>15</v>
      </c>
      <c r="B16">
        <v>46</v>
      </c>
      <c r="C16" t="str">
        <f>_xlfn.CONCAT("f",VLOOKUP(B16,Sheet2!A:C,2,FALSE),", f",VLOOKUP(B16,Sheet2!A:C,3,FALSE))</f>
        <v>f100, f101</v>
      </c>
      <c r="D16">
        <v>5</v>
      </c>
      <c r="E16" t="str">
        <f>_xlfn.CONCAT("f",VLOOKUP(D16,Sheet2!A:C,2,FALSE),", f",VLOOKUP(D16,Sheet2!A:C,3,FALSE))</f>
        <v>f9, f16</v>
      </c>
      <c r="F16">
        <v>43</v>
      </c>
      <c r="G16" t="str">
        <f>_xlfn.CONCAT("f",VLOOKUP(F16,Sheet2!A:C,2,FALSE),", f",VLOOKUP(F16,Sheet2!A:C,3,FALSE))</f>
        <v>f93, f96</v>
      </c>
      <c r="H16">
        <v>7</v>
      </c>
      <c r="I16" t="str">
        <f>_xlfn.CONCAT("f",VLOOKUP(H16,Sheet2!A:C,2,FALSE),", f",VLOOKUP(H16,Sheet2!A:C,3,FALSE))</f>
        <v>f11, f14</v>
      </c>
      <c r="J16">
        <f>VLOOKUP(H16,Sheet2!A:C,2,FALSE)</f>
        <v>11</v>
      </c>
      <c r="K16">
        <f>VLOOKUP(H16,Sheet2!A:C,3,FALSE)</f>
        <v>14</v>
      </c>
      <c r="M16" t="s">
        <v>151</v>
      </c>
      <c r="N16">
        <v>1</v>
      </c>
      <c r="O16" t="str">
        <f>VLOOKUP(H16,Sheet2!A:G,6,FALSE)</f>
        <v>A</v>
      </c>
      <c r="P16" t="str">
        <f>VLOOKUP(H16,Sheet2!A:G,7,FALSE)</f>
        <v>A</v>
      </c>
      <c r="Q16" t="str">
        <f t="shared" si="0"/>
        <v xml:space="preserve">    \ 15&amp;7&amp;f11, f14&amp;Herbal A3&amp;A&amp;A&amp;1\\</v>
      </c>
      <c r="R16" t="s">
        <v>55</v>
      </c>
      <c r="S16" t="str">
        <f t="shared" si="1"/>
        <v xml:space="preserve">    \ 15&amp;f100, f101&amp;f9, f16&amp;f93, f96&amp;f11, f14\\</v>
      </c>
      <c r="W16" t="s">
        <v>113</v>
      </c>
    </row>
    <row r="17" spans="1:23" x14ac:dyDescent="0.2">
      <c r="A17">
        <v>16</v>
      </c>
      <c r="B17">
        <v>41</v>
      </c>
      <c r="C17" t="str">
        <f>_xlfn.CONCAT("f",VLOOKUP(B17,Sheet2!A:C,2,FALSE),", f",VLOOKUP(B17,Sheet2!A:C,3,FALSE))</f>
        <v>f87, f90</v>
      </c>
      <c r="D17">
        <v>10</v>
      </c>
      <c r="E17" t="str">
        <f>_xlfn.CONCAT("f",VLOOKUP(D17,Sheet2!A:C,2,FALSE),", f",VLOOKUP(D17,Sheet2!A:C,3,FALSE))</f>
        <v>f18, f23</v>
      </c>
      <c r="F17">
        <v>27</v>
      </c>
      <c r="G17" t="str">
        <f>_xlfn.CONCAT("f",VLOOKUP(F17,Sheet2!A:C,2,FALSE),", f",VLOOKUP(F17,Sheet2!A:C,3,FALSE))</f>
        <v>f51, f54</v>
      </c>
      <c r="H17">
        <v>8</v>
      </c>
      <c r="I17" t="str">
        <f>_xlfn.CONCAT("f",VLOOKUP(H17,Sheet2!A:C,2,FALSE),", f",VLOOKUP(H17,Sheet2!A:C,3,FALSE))</f>
        <v>f13, f</v>
      </c>
      <c r="J17">
        <f>VLOOKUP(H17,Sheet2!A:C,2,FALSE)</f>
        <v>13</v>
      </c>
      <c r="K17">
        <f>VLOOKUP(H17,Sheet2!A:C,3,FALSE)</f>
        <v>0</v>
      </c>
      <c r="M17" t="s">
        <v>151</v>
      </c>
      <c r="N17">
        <v>1</v>
      </c>
      <c r="O17" t="str">
        <f>VLOOKUP(H17,Sheet2!A:G,6,FALSE)</f>
        <v>A</v>
      </c>
      <c r="P17" t="str">
        <f>VLOOKUP(H17,Sheet2!A:G,7,FALSE)</f>
        <v>A</v>
      </c>
      <c r="Q17" t="str">
        <f t="shared" si="0"/>
        <v xml:space="preserve">    \ 16&amp;8&amp;f13, f0&amp;Herbal A3&amp;A&amp;A&amp;1\\</v>
      </c>
      <c r="R17" t="s">
        <v>56</v>
      </c>
      <c r="S17" t="str">
        <f t="shared" si="1"/>
        <v xml:space="preserve">    \ 16&amp;f87, f90&amp;f18, f23&amp;f51, f54&amp;f13, f\\</v>
      </c>
      <c r="W17" t="s">
        <v>114</v>
      </c>
    </row>
    <row r="18" spans="1:23" x14ac:dyDescent="0.2">
      <c r="A18">
        <v>17</v>
      </c>
      <c r="B18">
        <v>43</v>
      </c>
      <c r="C18" t="str">
        <f>_xlfn.CONCAT("f",VLOOKUP(B18,Sheet2!A:C,2,FALSE),", f",VLOOKUP(B18,Sheet2!A:C,3,FALSE))</f>
        <v>f93, f96</v>
      </c>
      <c r="D18">
        <v>8</v>
      </c>
      <c r="E18" t="str">
        <f>_xlfn.CONCAT("f",VLOOKUP(D18,Sheet2!A:C,2,FALSE),", f",VLOOKUP(D18,Sheet2!A:C,3,FALSE))</f>
        <v>f13, f</v>
      </c>
      <c r="F18">
        <v>28</v>
      </c>
      <c r="G18" t="str">
        <f>_xlfn.CONCAT("f",VLOOKUP(F18,Sheet2!A:C,2,FALSE),", f",VLOOKUP(F18,Sheet2!A:C,3,FALSE))</f>
        <v>f52, f53</v>
      </c>
      <c r="H18">
        <v>10</v>
      </c>
      <c r="I18" t="str">
        <f>_xlfn.CONCAT("f",VLOOKUP(H18,Sheet2!A:C,2,FALSE),", f",VLOOKUP(H18,Sheet2!A:C,3,FALSE))</f>
        <v>f18, f23</v>
      </c>
      <c r="J18">
        <f>VLOOKUP(H18,Sheet2!A:C,2,FALSE)</f>
        <v>18</v>
      </c>
      <c r="K18">
        <f>VLOOKUP(H18,Sheet2!A:C,3,FALSE)</f>
        <v>23</v>
      </c>
      <c r="M18" t="s">
        <v>151</v>
      </c>
      <c r="N18">
        <v>1</v>
      </c>
      <c r="O18" t="str">
        <f>VLOOKUP(H18,Sheet2!A:G,6,FALSE)</f>
        <v>A</v>
      </c>
      <c r="P18" t="str">
        <f>VLOOKUP(H18,Sheet2!A:G,7,FALSE)</f>
        <v>A</v>
      </c>
      <c r="Q18" t="str">
        <f t="shared" si="0"/>
        <v xml:space="preserve">    \ 17&amp;10&amp;f18, f23&amp;Herbal A3&amp;A&amp;A&amp;1\\</v>
      </c>
      <c r="R18" t="s">
        <v>57</v>
      </c>
      <c r="S18" t="str">
        <f t="shared" si="1"/>
        <v xml:space="preserve">    \ 17&amp;f93, f96&amp;f13, f&amp;f52, f53&amp;f18, f23\\</v>
      </c>
      <c r="W18" t="s">
        <v>115</v>
      </c>
    </row>
    <row r="19" spans="1:23" x14ac:dyDescent="0.2">
      <c r="A19">
        <v>18</v>
      </c>
      <c r="B19">
        <v>27</v>
      </c>
      <c r="C19" t="str">
        <f>_xlfn.CONCAT("f",VLOOKUP(B19,Sheet2!A:C,2,FALSE),", f",VLOOKUP(B19,Sheet2!A:C,3,FALSE))</f>
        <v>f51, f54</v>
      </c>
      <c r="D19">
        <v>24</v>
      </c>
      <c r="E19" t="str">
        <f>_xlfn.CONCAT("f",VLOOKUP(D19,Sheet2!A:C,2,FALSE),", f",VLOOKUP(D19,Sheet2!A:C,3,FALSE))</f>
        <v>f44, f45</v>
      </c>
      <c r="F19">
        <v>5</v>
      </c>
      <c r="G19" t="str">
        <f>_xlfn.CONCAT("f",VLOOKUP(F19,Sheet2!A:C,2,FALSE),", f",VLOOKUP(F19,Sheet2!A:C,3,FALSE))</f>
        <v>f9, f16</v>
      </c>
      <c r="H19">
        <v>24</v>
      </c>
      <c r="I19" t="str">
        <f>_xlfn.CONCAT("f",VLOOKUP(H19,Sheet2!A:C,2,FALSE),", f",VLOOKUP(H19,Sheet2!A:C,3,FALSE))</f>
        <v>f44, f45</v>
      </c>
      <c r="J19">
        <f>VLOOKUP(H19,Sheet2!A:C,2,FALSE)</f>
        <v>44</v>
      </c>
      <c r="K19">
        <f>VLOOKUP(H19,Sheet2!A:C,3,FALSE)</f>
        <v>45</v>
      </c>
      <c r="M19" t="s">
        <v>151</v>
      </c>
      <c r="N19">
        <v>1</v>
      </c>
      <c r="O19" t="str">
        <f>VLOOKUP(H19,Sheet2!A:G,6,FALSE)</f>
        <v>A</v>
      </c>
      <c r="P19" t="str">
        <f>VLOOKUP(H19,Sheet2!A:G,7,FALSE)</f>
        <v>A</v>
      </c>
      <c r="Q19" t="str">
        <f t="shared" si="0"/>
        <v xml:space="preserve">    \ 18&amp;24&amp;f44, f45&amp;Herbal A3&amp;A&amp;A&amp;1\\</v>
      </c>
      <c r="R19" t="s">
        <v>58</v>
      </c>
      <c r="S19" t="str">
        <f t="shared" si="1"/>
        <v xml:space="preserve">    \ 18&amp;f51, f54&amp;f44, f45&amp;f9, f16&amp;f44, f45\\</v>
      </c>
      <c r="W19" t="s">
        <v>116</v>
      </c>
    </row>
    <row r="20" spans="1:23" x14ac:dyDescent="0.2">
      <c r="A20">
        <v>19</v>
      </c>
      <c r="B20">
        <v>28</v>
      </c>
      <c r="C20" t="str">
        <f>_xlfn.CONCAT("f",VLOOKUP(B20,Sheet2!A:C,2,FALSE),", f",VLOOKUP(B20,Sheet2!A:C,3,FALSE))</f>
        <v>f52, f53</v>
      </c>
      <c r="D20">
        <v>9</v>
      </c>
      <c r="E20" t="str">
        <f>_xlfn.CONCAT("f",VLOOKUP(D20,Sheet2!A:C,2,FALSE),", f",VLOOKUP(D20,Sheet2!A:C,3,FALSE))</f>
        <v>f17, f24</v>
      </c>
      <c r="F20">
        <v>20</v>
      </c>
      <c r="G20" t="str">
        <f>_xlfn.CONCAT("f",VLOOKUP(F20,Sheet2!A:C,2,FALSE),", f",VLOOKUP(F20,Sheet2!A:C,3,FALSE))</f>
        <v>f36, f37</v>
      </c>
      <c r="H20">
        <v>9</v>
      </c>
      <c r="I20" t="str">
        <f>_xlfn.CONCAT("f",VLOOKUP(H20,Sheet2!A:C,2,FALSE),", f",VLOOKUP(H20,Sheet2!A:C,3,FALSE))</f>
        <v>f17, f24</v>
      </c>
      <c r="J20">
        <f>VLOOKUP(H20,Sheet2!A:C,2,FALSE)</f>
        <v>17</v>
      </c>
      <c r="K20">
        <f>VLOOKUP(H20,Sheet2!A:C,3,FALSE)</f>
        <v>24</v>
      </c>
      <c r="M20" t="s">
        <v>152</v>
      </c>
      <c r="N20">
        <v>1</v>
      </c>
      <c r="O20" t="str">
        <f>VLOOKUP(H20,Sheet2!A:G,6,FALSE)</f>
        <v>A</v>
      </c>
      <c r="P20" t="str">
        <f>VLOOKUP(H20,Sheet2!A:G,7,FALSE)</f>
        <v>A</v>
      </c>
      <c r="Q20" t="str">
        <f t="shared" si="0"/>
        <v xml:space="preserve">    \ 19&amp;9&amp;f17, f24&amp;Herbal A4&amp;A&amp;A&amp;1\\</v>
      </c>
      <c r="R20" t="s">
        <v>59</v>
      </c>
      <c r="S20" t="str">
        <f t="shared" si="1"/>
        <v xml:space="preserve">    \ 19&amp;f52, f53&amp;f17, f24&amp;f36, f37&amp;f17, f24\\</v>
      </c>
      <c r="W20" t="s">
        <v>117</v>
      </c>
    </row>
    <row r="21" spans="1:23" x14ac:dyDescent="0.2">
      <c r="A21">
        <v>20</v>
      </c>
      <c r="B21">
        <v>24</v>
      </c>
      <c r="C21" t="str">
        <f>_xlfn.CONCAT("f",VLOOKUP(B21,Sheet2!A:C,2,FALSE),", f",VLOOKUP(B21,Sheet2!A:C,3,FALSE))</f>
        <v>f44, f45</v>
      </c>
      <c r="D21">
        <v>3</v>
      </c>
      <c r="E21" t="str">
        <f>_xlfn.CONCAT("f",VLOOKUP(D21,Sheet2!A:C,2,FALSE),", f",VLOOKUP(D21,Sheet2!A:C,3,FALSE))</f>
        <v>f3, f6</v>
      </c>
      <c r="F21">
        <v>11</v>
      </c>
      <c r="G21" t="str">
        <f>_xlfn.CONCAT("f",VLOOKUP(F21,Sheet2!A:C,2,FALSE),", f",VLOOKUP(F21,Sheet2!A:C,3,FALSE))</f>
        <v>f19, f22</v>
      </c>
      <c r="H21">
        <v>3</v>
      </c>
      <c r="I21" t="str">
        <f>_xlfn.CONCAT("f",VLOOKUP(H21,Sheet2!A:C,2,FALSE),", f",VLOOKUP(H21,Sheet2!A:C,3,FALSE))</f>
        <v>f3, f6</v>
      </c>
      <c r="J21">
        <f>VLOOKUP(H21,Sheet2!A:C,2,FALSE)</f>
        <v>3</v>
      </c>
      <c r="K21">
        <f>VLOOKUP(H21,Sheet2!A:C,3,FALSE)</f>
        <v>6</v>
      </c>
      <c r="M21" t="s">
        <v>152</v>
      </c>
      <c r="N21">
        <v>1</v>
      </c>
      <c r="O21" t="str">
        <f>VLOOKUP(H21,Sheet2!A:G,6,FALSE)</f>
        <v>A</v>
      </c>
      <c r="P21" t="str">
        <f>VLOOKUP(H21,Sheet2!A:G,7,FALSE)</f>
        <v>A</v>
      </c>
      <c r="Q21" t="str">
        <f t="shared" si="0"/>
        <v xml:space="preserve">    \ 20&amp;3&amp;f3, f6&amp;Herbal A4&amp;A&amp;A&amp;1\\</v>
      </c>
      <c r="R21" t="s">
        <v>60</v>
      </c>
      <c r="S21" t="str">
        <f t="shared" si="1"/>
        <v xml:space="preserve">    \ 20&amp;f44, f45&amp;f3, f6&amp;f19, f22&amp;f3, f6\\</v>
      </c>
      <c r="W21" t="s">
        <v>118</v>
      </c>
    </row>
    <row r="22" spans="1:23" x14ac:dyDescent="0.2">
      <c r="A22">
        <v>21</v>
      </c>
      <c r="B22">
        <v>10</v>
      </c>
      <c r="C22" t="str">
        <f>_xlfn.CONCAT("f",VLOOKUP(B22,Sheet2!A:C,2,FALSE),", f",VLOOKUP(B22,Sheet2!A:C,3,FALSE))</f>
        <v>f18, f23</v>
      </c>
      <c r="D22">
        <v>28</v>
      </c>
      <c r="E22" t="str">
        <f>_xlfn.CONCAT("f",VLOOKUP(D22,Sheet2!A:C,2,FALSE),", f",VLOOKUP(D22,Sheet2!A:C,3,FALSE))</f>
        <v>f52, f53</v>
      </c>
      <c r="F22">
        <v>6</v>
      </c>
      <c r="G22" t="str">
        <f>_xlfn.CONCAT("f",VLOOKUP(F22,Sheet2!A:C,2,FALSE),", f",VLOOKUP(F22,Sheet2!A:C,3,FALSE))</f>
        <v>f10, f15</v>
      </c>
      <c r="H22">
        <v>28</v>
      </c>
      <c r="I22" t="str">
        <f>_xlfn.CONCAT("f",VLOOKUP(H22,Sheet2!A:C,2,FALSE),", f",VLOOKUP(H22,Sheet2!A:C,3,FALSE))</f>
        <v>f52, f53</v>
      </c>
      <c r="J22">
        <f>VLOOKUP(H22,Sheet2!A:C,2,FALSE)</f>
        <v>52</v>
      </c>
      <c r="K22">
        <f>VLOOKUP(H22,Sheet2!A:C,3,FALSE)</f>
        <v>53</v>
      </c>
      <c r="M22" t="s">
        <v>152</v>
      </c>
      <c r="N22">
        <v>1</v>
      </c>
      <c r="O22" t="str">
        <f>VLOOKUP(H22,Sheet2!A:G,6,FALSE)</f>
        <v>A</v>
      </c>
      <c r="P22" t="str">
        <f>VLOOKUP(H22,Sheet2!A:G,7,FALSE)</f>
        <v>A</v>
      </c>
      <c r="Q22" t="str">
        <f t="shared" si="0"/>
        <v xml:space="preserve">    \ 21&amp;28&amp;f52, f53&amp;Herbal A4&amp;A&amp;A&amp;1\\</v>
      </c>
      <c r="R22" t="s">
        <v>61</v>
      </c>
      <c r="S22" t="str">
        <f t="shared" si="1"/>
        <v xml:space="preserve">    \ 21&amp;f18, f23&amp;f52, f53&amp;f10, f15&amp;f52, f53\\</v>
      </c>
      <c r="W22" t="s">
        <v>119</v>
      </c>
    </row>
    <row r="23" spans="1:23" x14ac:dyDescent="0.2">
      <c r="A23">
        <v>22</v>
      </c>
      <c r="B23">
        <v>8</v>
      </c>
      <c r="C23" t="str">
        <f>_xlfn.CONCAT("f",VLOOKUP(B23,Sheet2!A:C,2,FALSE),", f",VLOOKUP(B23,Sheet2!A:C,3,FALSE))</f>
        <v>f13, f</v>
      </c>
      <c r="D23">
        <v>27</v>
      </c>
      <c r="E23" t="str">
        <f>_xlfn.CONCAT("f",VLOOKUP(D23,Sheet2!A:C,2,FALSE),", f",VLOOKUP(D23,Sheet2!A:C,3,FALSE))</f>
        <v>f51, f54</v>
      </c>
      <c r="F23">
        <v>7</v>
      </c>
      <c r="G23" t="str">
        <f>_xlfn.CONCAT("f",VLOOKUP(F23,Sheet2!A:C,2,FALSE),", f",VLOOKUP(F23,Sheet2!A:C,3,FALSE))</f>
        <v>f11, f14</v>
      </c>
      <c r="H23">
        <v>27</v>
      </c>
      <c r="I23" t="str">
        <f>_xlfn.CONCAT("f",VLOOKUP(H23,Sheet2!A:C,2,FALSE),", f",VLOOKUP(H23,Sheet2!A:C,3,FALSE))</f>
        <v>f51, f54</v>
      </c>
      <c r="J23">
        <f>VLOOKUP(H23,Sheet2!A:C,2,FALSE)</f>
        <v>51</v>
      </c>
      <c r="K23">
        <f>VLOOKUP(H23,Sheet2!A:C,3,FALSE)</f>
        <v>54</v>
      </c>
      <c r="M23" t="s">
        <v>152</v>
      </c>
      <c r="N23">
        <v>1</v>
      </c>
      <c r="O23" t="str">
        <f>VLOOKUP(H23,Sheet2!A:G,6,FALSE)</f>
        <v>A</v>
      </c>
      <c r="P23" t="str">
        <f>VLOOKUP(H23,Sheet2!A:G,7,FALSE)</f>
        <v>A</v>
      </c>
      <c r="Q23" t="str">
        <f t="shared" si="0"/>
        <v xml:space="preserve">    \ 22&amp;27&amp;f51, f54&amp;Herbal A4&amp;A&amp;A&amp;1\\</v>
      </c>
      <c r="R23" t="s">
        <v>62</v>
      </c>
      <c r="S23" t="str">
        <f t="shared" si="1"/>
        <v xml:space="preserve">    \ 22&amp;f13, f&amp;f51, f54&amp;f11, f14&amp;f51, f54\\</v>
      </c>
      <c r="W23" t="s">
        <v>120</v>
      </c>
    </row>
    <row r="24" spans="1:23" x14ac:dyDescent="0.2">
      <c r="A24">
        <v>23</v>
      </c>
      <c r="B24">
        <v>7</v>
      </c>
      <c r="C24" t="str">
        <f>_xlfn.CONCAT("f",VLOOKUP(B24,Sheet2!A:C,2,FALSE),", f",VLOOKUP(B24,Sheet2!A:C,3,FALSE))</f>
        <v>f11, f14</v>
      </c>
      <c r="D24">
        <v>43</v>
      </c>
      <c r="E24" t="str">
        <f>_xlfn.CONCAT("f",VLOOKUP(D24,Sheet2!A:C,2,FALSE),", f",VLOOKUP(D24,Sheet2!A:C,3,FALSE))</f>
        <v>f93, f96</v>
      </c>
      <c r="F24">
        <v>8</v>
      </c>
      <c r="G24" t="str">
        <f>_xlfn.CONCAT("f",VLOOKUP(F24,Sheet2!A:C,2,FALSE),", f",VLOOKUP(F24,Sheet2!A:C,3,FALSE))</f>
        <v>f13, f</v>
      </c>
      <c r="H24">
        <v>43</v>
      </c>
      <c r="I24" t="str">
        <f>_xlfn.CONCAT("f",VLOOKUP(H24,Sheet2!A:C,2,FALSE),", f",VLOOKUP(H24,Sheet2!A:C,3,FALSE))</f>
        <v>f93, f96</v>
      </c>
      <c r="J24">
        <f>VLOOKUP(H24,Sheet2!A:C,2,FALSE)</f>
        <v>93</v>
      </c>
      <c r="K24">
        <f>VLOOKUP(H24,Sheet2!A:C,3,FALSE)</f>
        <v>96</v>
      </c>
      <c r="M24" t="s">
        <v>34</v>
      </c>
      <c r="N24">
        <v>1</v>
      </c>
      <c r="O24" t="str">
        <f>VLOOKUP(H24,Sheet2!A:G,6,FALSE)</f>
        <v>Ae</v>
      </c>
      <c r="P24" t="str">
        <f>VLOOKUP(H24,Sheet2!A:G,7,FALSE)</f>
        <v>A</v>
      </c>
      <c r="Q24" t="str">
        <f t="shared" si="0"/>
        <v xml:space="preserve">    \ 23&amp;43&amp;f93, f96&amp;Pharmaceutical&amp;A&amp;Ae&amp;1\\</v>
      </c>
      <c r="R24" t="s">
        <v>63</v>
      </c>
      <c r="S24" t="str">
        <f t="shared" si="1"/>
        <v xml:space="preserve">    \ 23&amp;f11, f14&amp;f93, f96&amp;f13, f&amp;f93, f96\\</v>
      </c>
      <c r="W24" t="s">
        <v>121</v>
      </c>
    </row>
    <row r="25" spans="1:23" x14ac:dyDescent="0.2">
      <c r="A25">
        <v>24</v>
      </c>
      <c r="B25">
        <v>6</v>
      </c>
      <c r="C25" t="str">
        <f>_xlfn.CONCAT("f",VLOOKUP(B25,Sheet2!A:C,2,FALSE),", f",VLOOKUP(B25,Sheet2!A:C,3,FALSE))</f>
        <v>f10, f15</v>
      </c>
      <c r="D25">
        <v>41</v>
      </c>
      <c r="E25" t="str">
        <f>_xlfn.CONCAT("f",VLOOKUP(D25,Sheet2!A:C,2,FALSE),", f",VLOOKUP(D25,Sheet2!A:C,3,FALSE))</f>
        <v>f87, f90</v>
      </c>
      <c r="F25">
        <v>10</v>
      </c>
      <c r="G25" t="str">
        <f>_xlfn.CONCAT("f",VLOOKUP(F25,Sheet2!A:C,2,FALSE),", f",VLOOKUP(F25,Sheet2!A:C,3,FALSE))</f>
        <v>f18, f23</v>
      </c>
      <c r="H25">
        <v>41</v>
      </c>
      <c r="I25" t="str">
        <f>_xlfn.CONCAT("f",VLOOKUP(H25,Sheet2!A:C,2,FALSE),", f",VLOOKUP(H25,Sheet2!A:C,3,FALSE))</f>
        <v>f87, f90</v>
      </c>
      <c r="J25">
        <f>VLOOKUP(H25,Sheet2!A:C,2,FALSE)</f>
        <v>87</v>
      </c>
      <c r="K25">
        <f>VLOOKUP(H25,Sheet2!A:C,3,FALSE)</f>
        <v>90</v>
      </c>
      <c r="M25" t="s">
        <v>34</v>
      </c>
      <c r="N25">
        <v>1</v>
      </c>
      <c r="O25" t="str">
        <f>VLOOKUP(H25,Sheet2!A:G,6,FALSE)</f>
        <v>Ae</v>
      </c>
      <c r="P25" t="str">
        <f>VLOOKUP(H25,Sheet2!A:G,7,FALSE)</f>
        <v>A</v>
      </c>
      <c r="Q25" t="str">
        <f t="shared" si="0"/>
        <v xml:space="preserve">    \ 24&amp;41&amp;f87, f90&amp;Pharmaceutical&amp;A&amp;Ae&amp;1\\</v>
      </c>
      <c r="R25" t="s">
        <v>64</v>
      </c>
      <c r="S25" t="str">
        <f t="shared" si="1"/>
        <v xml:space="preserve">    \ 24&amp;f10, f15&amp;f87, f90&amp;f18, f23&amp;f87, f90\\</v>
      </c>
      <c r="W25" t="s">
        <v>122</v>
      </c>
    </row>
    <row r="26" spans="1:23" x14ac:dyDescent="0.2">
      <c r="A26">
        <v>25</v>
      </c>
      <c r="B26">
        <v>20</v>
      </c>
      <c r="C26" t="str">
        <f>_xlfn.CONCAT("f",VLOOKUP(B26,Sheet2!A:C,2,FALSE),", f",VLOOKUP(B26,Sheet2!A:C,3,FALSE))</f>
        <v>f36, f37</v>
      </c>
      <c r="D26">
        <v>42</v>
      </c>
      <c r="E26" t="str">
        <f>_xlfn.CONCAT("f",VLOOKUP(D26,Sheet2!A:C,2,FALSE),", f",VLOOKUP(D26,Sheet2!A:C,3,FALSE))</f>
        <v>f88, f89</v>
      </c>
      <c r="F26">
        <v>24</v>
      </c>
      <c r="G26" t="str">
        <f>_xlfn.CONCAT("f",VLOOKUP(F26,Sheet2!A:C,2,FALSE),", f",VLOOKUP(F26,Sheet2!A:C,3,FALSE))</f>
        <v>f44, f45</v>
      </c>
      <c r="H26">
        <v>46</v>
      </c>
      <c r="I26" t="str">
        <f>_xlfn.CONCAT("f",VLOOKUP(H26,Sheet2!A:C,2,FALSE),", f",VLOOKUP(H26,Sheet2!A:C,3,FALSE))</f>
        <v>f100, f101</v>
      </c>
      <c r="J26">
        <f>VLOOKUP(H26,Sheet2!A:C,2,FALSE)</f>
        <v>100</v>
      </c>
      <c r="K26">
        <f>VLOOKUP(H26,Sheet2!A:C,3,FALSE)</f>
        <v>101</v>
      </c>
      <c r="M26" t="s">
        <v>34</v>
      </c>
      <c r="N26">
        <v>1</v>
      </c>
      <c r="O26" t="str">
        <f>VLOOKUP(H26,Sheet2!A:G,6,FALSE)</f>
        <v>Ae</v>
      </c>
      <c r="P26" t="str">
        <f>VLOOKUP(H26,Sheet2!A:G,7,FALSE)</f>
        <v>A</v>
      </c>
      <c r="Q26" t="str">
        <f t="shared" si="0"/>
        <v xml:space="preserve">    \ 25&amp;46&amp;f100, f101&amp;Pharmaceutical&amp;A&amp;Ae&amp;1\\</v>
      </c>
      <c r="R26" t="s">
        <v>65</v>
      </c>
      <c r="S26" t="str">
        <f t="shared" si="1"/>
        <v xml:space="preserve">    \ 25&amp;f36, f37&amp;f88, f89&amp;f44, f45&amp;f100, f101\\</v>
      </c>
      <c r="W26" t="s">
        <v>123</v>
      </c>
    </row>
    <row r="27" spans="1:23" x14ac:dyDescent="0.2">
      <c r="A27">
        <v>26</v>
      </c>
      <c r="B27">
        <v>11</v>
      </c>
      <c r="C27" t="str">
        <f>_xlfn.CONCAT("f",VLOOKUP(B27,Sheet2!A:C,2,FALSE),", f",VLOOKUP(B27,Sheet2!A:C,3,FALSE))</f>
        <v>f19, f22</v>
      </c>
      <c r="D27">
        <v>46</v>
      </c>
      <c r="E27" t="str">
        <f>_xlfn.CONCAT("f",VLOOKUP(D27,Sheet2!A:C,2,FALSE),", f",VLOOKUP(D27,Sheet2!A:C,3,FALSE))</f>
        <v>f100, f101</v>
      </c>
      <c r="F27">
        <v>3</v>
      </c>
      <c r="G27" t="str">
        <f>_xlfn.CONCAT("f",VLOOKUP(F27,Sheet2!A:C,2,FALSE),", f",VLOOKUP(F27,Sheet2!A:C,3,FALSE))</f>
        <v>f3, f6</v>
      </c>
      <c r="H27">
        <v>45</v>
      </c>
      <c r="I27" t="str">
        <f>_xlfn.CONCAT("f",VLOOKUP(H27,Sheet2!A:C,2,FALSE),", f",VLOOKUP(H27,Sheet2!A:C,3,FALSE))</f>
        <v>f99, f102</v>
      </c>
      <c r="J27">
        <f>VLOOKUP(H27,Sheet2!A:C,2,FALSE)</f>
        <v>99</v>
      </c>
      <c r="K27">
        <f>VLOOKUP(H27,Sheet2!A:C,3,FALSE)</f>
        <v>102</v>
      </c>
      <c r="M27" t="s">
        <v>34</v>
      </c>
      <c r="N27">
        <v>1</v>
      </c>
      <c r="O27" t="str">
        <f>VLOOKUP(H27,Sheet2!A:G,6,FALSE)</f>
        <v>Ae</v>
      </c>
      <c r="P27" t="str">
        <f>VLOOKUP(H27,Sheet2!A:G,7,FALSE)</f>
        <v>A</v>
      </c>
      <c r="Q27" t="str">
        <f t="shared" si="0"/>
        <v xml:space="preserve">    \ 26&amp;45&amp;f99, f102&amp;Pharmaceutical&amp;A&amp;Ae&amp;1\\</v>
      </c>
      <c r="R27" t="s">
        <v>66</v>
      </c>
      <c r="S27" t="str">
        <f t="shared" si="1"/>
        <v xml:space="preserve">    \ 26&amp;f19, f22&amp;f100, f101&amp;f3, f6&amp;f99, f102\\</v>
      </c>
      <c r="W27" t="s">
        <v>124</v>
      </c>
    </row>
    <row r="28" spans="1:23" x14ac:dyDescent="0.2">
      <c r="A28">
        <v>27</v>
      </c>
      <c r="B28">
        <v>5</v>
      </c>
      <c r="C28" t="str">
        <f>_xlfn.CONCAT("f",VLOOKUP(B28,Sheet2!A:C,2,FALSE),", f",VLOOKUP(B28,Sheet2!A:C,3,FALSE))</f>
        <v>f9, f16</v>
      </c>
      <c r="D28">
        <v>45</v>
      </c>
      <c r="E28" t="str">
        <f>_xlfn.CONCAT("f",VLOOKUP(D28,Sheet2!A:C,2,FALSE),", f",VLOOKUP(D28,Sheet2!A:C,3,FALSE))</f>
        <v>f99, f102</v>
      </c>
      <c r="F28">
        <v>9</v>
      </c>
      <c r="G28" t="str">
        <f>_xlfn.CONCAT("f",VLOOKUP(F28,Sheet2!A:C,2,FALSE),", f",VLOOKUP(F28,Sheet2!A:C,3,FALSE))</f>
        <v>f17, f24</v>
      </c>
      <c r="H28">
        <v>42</v>
      </c>
      <c r="I28" t="str">
        <f>_xlfn.CONCAT("f",VLOOKUP(H28,Sheet2!A:C,2,FALSE),", f",VLOOKUP(H28,Sheet2!A:C,3,FALSE))</f>
        <v>f88, f89</v>
      </c>
      <c r="J28">
        <f>VLOOKUP(H28,Sheet2!A:C,2,FALSE)</f>
        <v>88</v>
      </c>
      <c r="K28">
        <f>VLOOKUP(H28,Sheet2!A:C,3,FALSE)</f>
        <v>89</v>
      </c>
      <c r="M28" t="s">
        <v>34</v>
      </c>
      <c r="N28">
        <v>1</v>
      </c>
      <c r="O28" t="str">
        <f>VLOOKUP(H28,Sheet2!A:G,6,FALSE)</f>
        <v>Ae</v>
      </c>
      <c r="P28" t="str">
        <f>VLOOKUP(H28,Sheet2!A:G,7,FALSE)</f>
        <v>A</v>
      </c>
      <c r="Q28" t="str">
        <f t="shared" si="0"/>
        <v xml:space="preserve">    \ 27&amp;42&amp;f88, f89&amp;Pharmaceutical&amp;A&amp;Ae&amp;1\\</v>
      </c>
      <c r="R28" t="s">
        <v>67</v>
      </c>
      <c r="S28" t="str">
        <f t="shared" si="1"/>
        <v xml:space="preserve">    \ 27&amp;f9, f16&amp;f99, f102&amp;f17, f24&amp;f88, f89\\</v>
      </c>
      <c r="W28" t="s">
        <v>125</v>
      </c>
    </row>
    <row r="29" spans="1:23" x14ac:dyDescent="0.2">
      <c r="A29">
        <v>28</v>
      </c>
      <c r="B29">
        <v>44</v>
      </c>
      <c r="C29" t="str">
        <f>_xlfn.CONCAT("f",VLOOKUP(B29,Sheet2!A:C,2,FALSE),", f",VLOOKUP(B29,Sheet2!A:C,3,FALSE))</f>
        <v>f94, f95</v>
      </c>
      <c r="D29">
        <v>31</v>
      </c>
      <c r="E29" t="str">
        <f>_xlfn.CONCAT("f",VLOOKUP(D29,Sheet2!A:C,2,FALSE),", f",VLOOKUP(D29,Sheet2!A:C,3,FALSE))</f>
        <v>f67, f68</v>
      </c>
      <c r="F29">
        <v>34</v>
      </c>
      <c r="G29" t="str">
        <f>_xlfn.CONCAT("f",VLOOKUP(F29,Sheet2!A:C,2,FALSE),", f",VLOOKUP(F29,Sheet2!A:C,3,FALSE))</f>
        <v>f73, f</v>
      </c>
      <c r="H29">
        <v>30</v>
      </c>
      <c r="I29" t="str">
        <f>_xlfn.CONCAT("f",VLOOKUP(H29,Sheet2!A:C,2,FALSE),", f",VLOOKUP(H29,Sheet2!A:C,3,FALSE))</f>
        <v>f58, f65</v>
      </c>
      <c r="J29">
        <f>VLOOKUP(H29,Sheet2!A:C,2,FALSE)</f>
        <v>58</v>
      </c>
      <c r="K29">
        <f>VLOOKUP(H29,Sheet2!A:C,3,FALSE)</f>
        <v>65</v>
      </c>
      <c r="M29" t="s">
        <v>35</v>
      </c>
      <c r="N29">
        <v>4</v>
      </c>
      <c r="O29" t="str">
        <f>VLOOKUP(H29,Sheet2!A:G,6,FALSE)</f>
        <v>A</v>
      </c>
      <c r="P29" t="str">
        <f>VLOOKUP(H29,Sheet2!A:G,7,FALSE)</f>
        <v>A</v>
      </c>
      <c r="Q29" t="str">
        <f t="shared" si="0"/>
        <v xml:space="preserve">    \ 28&amp;30&amp;f58, f65&amp;Cosmological/Astrological&amp;A&amp;A&amp;4\\</v>
      </c>
      <c r="R29" t="s">
        <v>68</v>
      </c>
      <c r="S29" t="str">
        <f t="shared" si="1"/>
        <v xml:space="preserve">    \ 28&amp;f94, f95&amp;f67, f68&amp;f73, f&amp;f58, f65\\</v>
      </c>
      <c r="W29" t="s">
        <v>126</v>
      </c>
    </row>
    <row r="30" spans="1:23" x14ac:dyDescent="0.2">
      <c r="A30">
        <v>29</v>
      </c>
      <c r="B30">
        <v>26</v>
      </c>
      <c r="C30" t="str">
        <f>_xlfn.CONCAT("f",VLOOKUP(B30,Sheet2!A:C,2,FALSE),", f",VLOOKUP(B30,Sheet2!A:C,3,FALSE))</f>
        <v>f50, f55</v>
      </c>
      <c r="D30">
        <v>30</v>
      </c>
      <c r="E30" t="str">
        <f>_xlfn.CONCAT("f",VLOOKUP(D30,Sheet2!A:C,2,FALSE),", f",VLOOKUP(D30,Sheet2!A:C,3,FALSE))</f>
        <v>f58, f65</v>
      </c>
      <c r="F30">
        <v>33</v>
      </c>
      <c r="G30" t="str">
        <f>_xlfn.CONCAT("f",VLOOKUP(F30,Sheet2!A:C,2,FALSE),", f",VLOOKUP(F30,Sheet2!A:C,3,FALSE))</f>
        <v>f71, f72</v>
      </c>
      <c r="H30">
        <v>32</v>
      </c>
      <c r="I30" t="str">
        <f>_xlfn.CONCAT("f",VLOOKUP(H30,Sheet2!A:C,2,FALSE),", f",VLOOKUP(H30,Sheet2!A:C,3,FALSE))</f>
        <v>f69, f70</v>
      </c>
      <c r="J30">
        <f>VLOOKUP(H30,Sheet2!A:C,2,FALSE)</f>
        <v>69</v>
      </c>
      <c r="K30">
        <f>VLOOKUP(H30,Sheet2!A:C,3,FALSE)</f>
        <v>70</v>
      </c>
      <c r="M30" t="s">
        <v>35</v>
      </c>
      <c r="N30">
        <v>4</v>
      </c>
      <c r="O30" t="str">
        <f>VLOOKUP(H30,Sheet2!A:G,6,FALSE)</f>
        <v>Ce</v>
      </c>
      <c r="P30" t="str">
        <f>VLOOKUP(H30,Sheet2!A:G,7,FALSE)</f>
        <v>-</v>
      </c>
      <c r="Q30" t="str">
        <f>_xlfn.CONCAT("    \ ",A30,"&amp;",H30,"&amp;","f",J30,", f",K30,"&amp;",M30,"&amp;",P30,"&amp;",O30,"&amp;",N30,"\\")</f>
        <v xml:space="preserve">    \ 29&amp;32&amp;f69, f70&amp;Cosmological/Astrological&amp;-&amp;Ce&amp;4\\</v>
      </c>
      <c r="R30" t="s">
        <v>69</v>
      </c>
      <c r="S30" t="str">
        <f t="shared" si="1"/>
        <v xml:space="preserve">    \ 29&amp;f50, f55&amp;f58, f65&amp;f71, f72&amp;f69, f70\\</v>
      </c>
      <c r="W30" t="s">
        <v>127</v>
      </c>
    </row>
    <row r="31" spans="1:23" x14ac:dyDescent="0.2">
      <c r="A31">
        <v>30</v>
      </c>
      <c r="B31">
        <v>17</v>
      </c>
      <c r="C31" t="str">
        <f>_xlfn.CONCAT("f",VLOOKUP(B31,Sheet2!A:C,2,FALSE),", f",VLOOKUP(B31,Sheet2!A:C,3,FALSE))</f>
        <v>f33, f40</v>
      </c>
      <c r="D31">
        <v>32</v>
      </c>
      <c r="E31" t="str">
        <f>_xlfn.CONCAT("f",VLOOKUP(D31,Sheet2!A:C,2,FALSE),", f",VLOOKUP(D31,Sheet2!A:C,3,FALSE))</f>
        <v>f69, f70</v>
      </c>
      <c r="F31">
        <v>32</v>
      </c>
      <c r="G31" t="str">
        <f>_xlfn.CONCAT("f",VLOOKUP(F31,Sheet2!A:C,2,FALSE),", f",VLOOKUP(F31,Sheet2!A:C,3,FALSE))</f>
        <v>f69, f70</v>
      </c>
      <c r="H31">
        <v>33</v>
      </c>
      <c r="I31" t="str">
        <f>_xlfn.CONCAT("f",VLOOKUP(H31,Sheet2!A:C,2,FALSE),", f",VLOOKUP(H31,Sheet2!A:C,3,FALSE))</f>
        <v>f71, f72</v>
      </c>
      <c r="J31">
        <f>VLOOKUP(H31,Sheet2!A:C,2,FALSE)</f>
        <v>71</v>
      </c>
      <c r="K31">
        <f>VLOOKUP(H31,Sheet2!A:C,3,FALSE)</f>
        <v>72</v>
      </c>
      <c r="M31" t="s">
        <v>35</v>
      </c>
      <c r="N31">
        <v>4</v>
      </c>
      <c r="O31" t="str">
        <f>VLOOKUP(H31,Sheet2!A:G,6,FALSE)</f>
        <v>Ce</v>
      </c>
      <c r="P31" t="str">
        <f>VLOOKUP(H31,Sheet2!A:G,7,FALSE)</f>
        <v>-</v>
      </c>
      <c r="Q31" t="str">
        <f>_xlfn.CONCAT("    \ ",A31,"&amp;",H31,"&amp;","f",J31,", f",K31,"&amp;",M31,"&amp;",P31,"&amp;",O31,"&amp;",N31,"\\")</f>
        <v xml:space="preserve">    \ 30&amp;33&amp;f71, f72&amp;Cosmological/Astrological&amp;-&amp;Ce&amp;4\\</v>
      </c>
      <c r="R31" t="s">
        <v>70</v>
      </c>
      <c r="S31" t="str">
        <f t="shared" si="1"/>
        <v xml:space="preserve">    \ 30&amp;f33, f40&amp;f69, f70&amp;f69, f70&amp;f71, f72\\</v>
      </c>
      <c r="W31" t="s">
        <v>128</v>
      </c>
    </row>
    <row r="32" spans="1:23" x14ac:dyDescent="0.2">
      <c r="A32">
        <v>31</v>
      </c>
      <c r="B32">
        <v>18</v>
      </c>
      <c r="C32" t="str">
        <f>_xlfn.CONCAT("f",VLOOKUP(B32,Sheet2!A:C,2,FALSE),", f",VLOOKUP(B32,Sheet2!A:C,3,FALSE))</f>
        <v>f34, f39</v>
      </c>
      <c r="D32">
        <v>33</v>
      </c>
      <c r="E32" t="str">
        <f>_xlfn.CONCAT("f",VLOOKUP(D32,Sheet2!A:C,2,FALSE),", f",VLOOKUP(D32,Sheet2!A:C,3,FALSE))</f>
        <v>f71, f72</v>
      </c>
      <c r="F32">
        <v>30</v>
      </c>
      <c r="G32" t="str">
        <f>_xlfn.CONCAT("f",VLOOKUP(F32,Sheet2!A:C,2,FALSE),", f",VLOOKUP(F32,Sheet2!A:C,3,FALSE))</f>
        <v>f58, f65</v>
      </c>
      <c r="H32">
        <v>34</v>
      </c>
      <c r="I32" t="str">
        <f>_xlfn.CONCAT("f",VLOOKUP(H32,Sheet2!A:C,2,FALSE),", f",VLOOKUP(H32,Sheet2!A:C,3,FALSE))</f>
        <v>f73, f</v>
      </c>
      <c r="J32">
        <f>VLOOKUP(H32,Sheet2!A:C,2,FALSE)</f>
        <v>73</v>
      </c>
      <c r="K32">
        <f>VLOOKUP(H32,Sheet2!A:C,3,FALSE)</f>
        <v>0</v>
      </c>
      <c r="M32" t="s">
        <v>35</v>
      </c>
      <c r="N32">
        <v>4</v>
      </c>
      <c r="O32" t="str">
        <f>VLOOKUP(H32,Sheet2!A:G,6,FALSE)</f>
        <v>Bs</v>
      </c>
      <c r="P32" t="str">
        <f>VLOOKUP(H32,Sheet2!A:G,7,FALSE)</f>
        <v>-</v>
      </c>
      <c r="Q32" t="str">
        <f>_xlfn.CONCAT("    \ ",A32,"&amp;",H32,"&amp;","f",J32,", f",K32,"&amp;",M32,"&amp;",P32,"&amp;",O32,"&amp;",N32,"\\")</f>
        <v xml:space="preserve">    \ 31&amp;34&amp;f73, f0&amp;Cosmological/Astrological&amp;-&amp;Bs&amp;4\\</v>
      </c>
      <c r="R32" t="s">
        <v>71</v>
      </c>
      <c r="S32" t="str">
        <f t="shared" si="1"/>
        <v xml:space="preserve">    \ 31&amp;f34, f39&amp;f71, f72&amp;f58, f65&amp;f73, f\\</v>
      </c>
      <c r="W32" t="s">
        <v>129</v>
      </c>
    </row>
    <row r="33" spans="1:23" x14ac:dyDescent="0.2">
      <c r="A33">
        <v>32</v>
      </c>
      <c r="B33">
        <v>23</v>
      </c>
      <c r="C33" t="str">
        <f>_xlfn.CONCAT("f",VLOOKUP(B33,Sheet2!A:C,2,FALSE),", f",VLOOKUP(B33,Sheet2!A:C,3,FALSE))</f>
        <v>f43, f46</v>
      </c>
      <c r="D33">
        <v>34</v>
      </c>
      <c r="E33" t="str">
        <f>_xlfn.CONCAT("f",VLOOKUP(D33,Sheet2!A:C,2,FALSE),", f",VLOOKUP(D33,Sheet2!A:C,3,FALSE))</f>
        <v>f73, f</v>
      </c>
      <c r="F33">
        <v>31</v>
      </c>
      <c r="G33" t="str">
        <f>_xlfn.CONCAT("f",VLOOKUP(F33,Sheet2!A:C,2,FALSE),", f",VLOOKUP(F33,Sheet2!A:C,3,FALSE))</f>
        <v>f67, f68</v>
      </c>
      <c r="H33">
        <v>31</v>
      </c>
      <c r="I33" t="str">
        <f>_xlfn.CONCAT("f",VLOOKUP(H33,Sheet2!A:C,2,FALSE),", f",VLOOKUP(H33,Sheet2!A:C,3,FALSE))</f>
        <v>f67, f68</v>
      </c>
      <c r="J33">
        <f>VLOOKUP(H33,Sheet2!A:C,2,FALSE)</f>
        <v>67</v>
      </c>
      <c r="K33">
        <f>VLOOKUP(H33,Sheet2!A:C,3,FALSE)</f>
        <v>68</v>
      </c>
      <c r="M33" t="s">
        <v>35</v>
      </c>
      <c r="N33">
        <v>3</v>
      </c>
      <c r="O33" t="str">
        <f>VLOOKUP(H33,Sheet2!A:G,6,FALSE)</f>
        <v>Ce</v>
      </c>
      <c r="P33" t="str">
        <f>VLOOKUP(H33,Sheet2!A:G,7,FALSE)</f>
        <v>-</v>
      </c>
      <c r="Q33" t="str">
        <f>_xlfn.CONCAT("    \ ",A33,"&amp;",H33,"&amp;","f",J33,", f",K33,"&amp;",M33,"&amp;",P33,"&amp;",O33,"&amp;",N33,"\\")</f>
        <v xml:space="preserve">    \ 32&amp;31&amp;f67, f68&amp;Cosmological/Astrological&amp;-&amp;Ce&amp;3\\</v>
      </c>
      <c r="R33" t="s">
        <v>72</v>
      </c>
      <c r="S33" t="str">
        <f t="shared" si="1"/>
        <v xml:space="preserve">    \ 32&amp;f43, f46&amp;f73, f&amp;f67, f68&amp;f67, f68\\</v>
      </c>
      <c r="W33" t="s">
        <v>130</v>
      </c>
    </row>
    <row r="34" spans="1:23" x14ac:dyDescent="0.2">
      <c r="A34">
        <v>33</v>
      </c>
      <c r="B34">
        <v>21</v>
      </c>
      <c r="C34" t="str">
        <f>_xlfn.CONCAT("f",VLOOKUP(B34,Sheet2!A:C,2,FALSE),", f",VLOOKUP(B34,Sheet2!A:C,3,FALSE))</f>
        <v>f41, f48</v>
      </c>
      <c r="D34">
        <v>29</v>
      </c>
      <c r="E34" t="str">
        <f>_xlfn.CONCAT("f",VLOOKUP(D34,Sheet2!A:C,2,FALSE),", f",VLOOKUP(D34,Sheet2!A:C,3,FALSE))</f>
        <v>f57, f66</v>
      </c>
      <c r="F34">
        <v>29</v>
      </c>
      <c r="G34" t="str">
        <f>_xlfn.CONCAT("f",VLOOKUP(F34,Sheet2!A:C,2,FALSE),", f",VLOOKUP(F34,Sheet2!A:C,3,FALSE))</f>
        <v>f57, f66</v>
      </c>
      <c r="H34">
        <v>29</v>
      </c>
      <c r="I34" t="str">
        <f>_xlfn.CONCAT("f",VLOOKUP(H34,Sheet2!A:C,2,FALSE),", f",VLOOKUP(H34,Sheet2!A:C,3,FALSE))</f>
        <v>f57, f66</v>
      </c>
      <c r="J34">
        <f>VLOOKUP(H34,Sheet2!A:C,2,FALSE)</f>
        <v>57</v>
      </c>
      <c r="K34">
        <f>VLOOKUP(H34,Sheet2!A:C,3,FALSE)</f>
        <v>66</v>
      </c>
      <c r="M34" t="s">
        <v>35</v>
      </c>
      <c r="N34">
        <v>5</v>
      </c>
      <c r="O34" t="str">
        <f>VLOOKUP(H34,Sheet2!A:G,6,FALSE)</f>
        <v>C</v>
      </c>
      <c r="P34" t="str">
        <f>VLOOKUP(H34,Sheet2!A:G,7,FALSE)</f>
        <v>B</v>
      </c>
      <c r="Q34" t="str">
        <f>_xlfn.CONCAT("    \ ",A34,"&amp;",H34,"&amp;","f",J34,", f",K34,"&amp;",M34,"&amp;",P34,"&amp;",O34,"&amp;",N34,"\\")</f>
        <v xml:space="preserve">    \ 33&amp;29&amp;f57, f66&amp;Cosmological/Astrological&amp;B&amp;C&amp;5\\</v>
      </c>
      <c r="R34" t="s">
        <v>73</v>
      </c>
      <c r="S34" t="str">
        <f t="shared" si="1"/>
        <v xml:space="preserve">    \ 33&amp;f41, f48&amp;f57, f66&amp;f57, f66&amp;f57, f66\\</v>
      </c>
      <c r="W34" t="s">
        <v>131</v>
      </c>
    </row>
    <row r="35" spans="1:23" x14ac:dyDescent="0.2">
      <c r="A35">
        <v>34</v>
      </c>
      <c r="B35">
        <v>14</v>
      </c>
      <c r="C35" t="str">
        <f>_xlfn.CONCAT("f",VLOOKUP(B35,Sheet2!A:C,2,FALSE),", f",VLOOKUP(B35,Sheet2!A:C,3,FALSE))</f>
        <v>f26, f31</v>
      </c>
      <c r="D35">
        <v>14</v>
      </c>
      <c r="E35" t="str">
        <f>_xlfn.CONCAT("f",VLOOKUP(D35,Sheet2!A:C,2,FALSE),", f",VLOOKUP(D35,Sheet2!A:C,3,FALSE))</f>
        <v>f26, f31</v>
      </c>
      <c r="F35">
        <v>14</v>
      </c>
      <c r="G35" t="str">
        <f>_xlfn.CONCAT("f",VLOOKUP(F35,Sheet2!A:C,2,FALSE),", f",VLOOKUP(F35,Sheet2!A:C,3,FALSE))</f>
        <v>f26, f31</v>
      </c>
      <c r="H35">
        <v>14</v>
      </c>
      <c r="I35" t="str">
        <f>_xlfn.CONCAT("f",VLOOKUP(H35,Sheet2!A:C,2,FALSE),", f",VLOOKUP(H35,Sheet2!A:C,3,FALSE))</f>
        <v>f26, f31</v>
      </c>
      <c r="J35">
        <f>VLOOKUP(H35,Sheet2!A:C,2,FALSE)</f>
        <v>26</v>
      </c>
      <c r="K35">
        <f>VLOOKUP(H35,Sheet2!A:C,3,FALSE)</f>
        <v>31</v>
      </c>
      <c r="M35" t="s">
        <v>36</v>
      </c>
      <c r="N35">
        <v>2</v>
      </c>
      <c r="O35" t="str">
        <f>VLOOKUP(H35,Sheet2!A:G,6,FALSE)</f>
        <v>B</v>
      </c>
      <c r="P35" t="str">
        <f>VLOOKUP(H35,Sheet2!A:G,7,FALSE)</f>
        <v>B</v>
      </c>
      <c r="Q35" t="str">
        <f t="shared" si="0"/>
        <v xml:space="preserve">    \ 34&amp;14&amp;f26, f31&amp;Herbal B&amp;B&amp;B&amp;2\\</v>
      </c>
      <c r="R35" t="s">
        <v>74</v>
      </c>
      <c r="S35" t="str">
        <f t="shared" si="1"/>
        <v xml:space="preserve">    \ 34&amp;f26, f31&amp;f26, f31&amp;f26, f31&amp;f26, f31\\</v>
      </c>
      <c r="W35" t="s">
        <v>132</v>
      </c>
    </row>
    <row r="36" spans="1:23" x14ac:dyDescent="0.2">
      <c r="A36">
        <v>35</v>
      </c>
      <c r="B36">
        <v>29</v>
      </c>
      <c r="C36" t="str">
        <f>_xlfn.CONCAT("f",VLOOKUP(B36,Sheet2!A:C,2,FALSE),", f",VLOOKUP(B36,Sheet2!A:C,3,FALSE))</f>
        <v>f57, f66</v>
      </c>
      <c r="D36">
        <v>21</v>
      </c>
      <c r="E36" t="str">
        <f>_xlfn.CONCAT("f",VLOOKUP(D36,Sheet2!A:C,2,FALSE),", f",VLOOKUP(D36,Sheet2!A:C,3,FALSE))</f>
        <v>f41, f48</v>
      </c>
      <c r="F36">
        <v>21</v>
      </c>
      <c r="G36" t="str">
        <f>_xlfn.CONCAT("f",VLOOKUP(F36,Sheet2!A:C,2,FALSE),", f",VLOOKUP(F36,Sheet2!A:C,3,FALSE))</f>
        <v>f41, f48</v>
      </c>
      <c r="H36">
        <v>21</v>
      </c>
      <c r="I36" t="str">
        <f>_xlfn.CONCAT("f",VLOOKUP(H36,Sheet2!A:C,2,FALSE),", f",VLOOKUP(H36,Sheet2!A:C,3,FALSE))</f>
        <v>f41, f48</v>
      </c>
      <c r="J36">
        <f>VLOOKUP(H36,Sheet2!A:C,2,FALSE)</f>
        <v>41</v>
      </c>
      <c r="K36">
        <f>VLOOKUP(H36,Sheet2!A:C,3,FALSE)</f>
        <v>48</v>
      </c>
      <c r="M36" t="s">
        <v>36</v>
      </c>
      <c r="N36">
        <v>5</v>
      </c>
      <c r="O36" t="str">
        <f>VLOOKUP(H36,Sheet2!A:G,6,FALSE)</f>
        <v>B</v>
      </c>
      <c r="P36" t="str">
        <f>VLOOKUP(H36,Sheet2!A:G,7,FALSE)</f>
        <v>B</v>
      </c>
      <c r="Q36" t="str">
        <f t="shared" si="0"/>
        <v xml:space="preserve">    \ 35&amp;21&amp;f41, f48&amp;Herbal B&amp;B&amp;B&amp;5\\</v>
      </c>
      <c r="R36" t="s">
        <v>75</v>
      </c>
      <c r="S36" t="str">
        <f t="shared" si="1"/>
        <v xml:space="preserve">    \ 35&amp;f57, f66&amp;f41, f48&amp;f41, f48&amp;f41, f48\\</v>
      </c>
      <c r="W36" t="s">
        <v>133</v>
      </c>
    </row>
    <row r="37" spans="1:23" x14ac:dyDescent="0.2">
      <c r="A37">
        <v>36</v>
      </c>
      <c r="B37">
        <v>31</v>
      </c>
      <c r="C37" t="str">
        <f>_xlfn.CONCAT("f",VLOOKUP(B37,Sheet2!A:C,2,FALSE),", f",VLOOKUP(B37,Sheet2!A:C,3,FALSE))</f>
        <v>f67, f68</v>
      </c>
      <c r="D37">
        <v>23</v>
      </c>
      <c r="E37" t="str">
        <f>_xlfn.CONCAT("f",VLOOKUP(D37,Sheet2!A:C,2,FALSE),", f",VLOOKUP(D37,Sheet2!A:C,3,FALSE))</f>
        <v>f43, f46</v>
      </c>
      <c r="F37">
        <v>23</v>
      </c>
      <c r="G37" t="str">
        <f>_xlfn.CONCAT("f",VLOOKUP(F37,Sheet2!A:C,2,FALSE),", f",VLOOKUP(F37,Sheet2!A:C,3,FALSE))</f>
        <v>f43, f46</v>
      </c>
      <c r="H37">
        <v>23</v>
      </c>
      <c r="I37" t="str">
        <f>_xlfn.CONCAT("f",VLOOKUP(H37,Sheet2!A:C,2,FALSE),", f",VLOOKUP(H37,Sheet2!A:C,3,FALSE))</f>
        <v>f43, f46</v>
      </c>
      <c r="J37">
        <f>VLOOKUP(H37,Sheet2!A:C,2,FALSE)</f>
        <v>43</v>
      </c>
      <c r="K37">
        <f>VLOOKUP(H37,Sheet2!A:C,3,FALSE)</f>
        <v>46</v>
      </c>
      <c r="M37" t="s">
        <v>36</v>
      </c>
      <c r="N37">
        <v>2</v>
      </c>
      <c r="O37" t="str">
        <f>VLOOKUP(H37,Sheet2!A:G,6,FALSE)</f>
        <v>Bs</v>
      </c>
      <c r="P37" t="str">
        <f>VLOOKUP(H37,Sheet2!A:G,7,FALSE)</f>
        <v>B</v>
      </c>
      <c r="Q37" t="str">
        <f t="shared" si="0"/>
        <v xml:space="preserve">    \ 36&amp;23&amp;f43, f46&amp;Herbal B&amp;B&amp;Bs&amp;2\\</v>
      </c>
      <c r="R37" t="s">
        <v>76</v>
      </c>
      <c r="S37" t="str">
        <f t="shared" si="1"/>
        <v xml:space="preserve">    \ 36&amp;f67, f68&amp;f43, f46&amp;f43, f46&amp;f43, f46\\</v>
      </c>
      <c r="W37" t="s">
        <v>134</v>
      </c>
    </row>
    <row r="38" spans="1:23" x14ac:dyDescent="0.2">
      <c r="A38">
        <v>37</v>
      </c>
      <c r="B38">
        <v>34</v>
      </c>
      <c r="C38" t="str">
        <f>_xlfn.CONCAT("f",VLOOKUP(B38,Sheet2!A:C,2,FALSE),", f",VLOOKUP(B38,Sheet2!A:C,3,FALSE))</f>
        <v>f73, f</v>
      </c>
      <c r="D38">
        <v>18</v>
      </c>
      <c r="E38" t="str">
        <f>_xlfn.CONCAT("f",VLOOKUP(D38,Sheet2!A:C,2,FALSE),", f",VLOOKUP(D38,Sheet2!A:C,3,FALSE))</f>
        <v>f34, f39</v>
      </c>
      <c r="F38">
        <v>18</v>
      </c>
      <c r="G38" t="str">
        <f>_xlfn.CONCAT("f",VLOOKUP(F38,Sheet2!A:C,2,FALSE),", f",VLOOKUP(F38,Sheet2!A:C,3,FALSE))</f>
        <v>f34, f39</v>
      </c>
      <c r="H38">
        <v>18</v>
      </c>
      <c r="I38" t="str">
        <f>_xlfn.CONCAT("f",VLOOKUP(H38,Sheet2!A:C,2,FALSE),", f",VLOOKUP(H38,Sheet2!A:C,3,FALSE))</f>
        <v>f34, f39</v>
      </c>
      <c r="J38">
        <f>VLOOKUP(H38,Sheet2!A:C,2,FALSE)</f>
        <v>34</v>
      </c>
      <c r="K38">
        <f>VLOOKUP(H38,Sheet2!A:C,3,FALSE)</f>
        <v>39</v>
      </c>
      <c r="M38" t="s">
        <v>36</v>
      </c>
      <c r="N38">
        <v>2</v>
      </c>
      <c r="O38" t="str">
        <f>VLOOKUP(H38,Sheet2!A:G,6,FALSE)</f>
        <v>B</v>
      </c>
      <c r="P38" t="str">
        <f>VLOOKUP(H38,Sheet2!A:G,7,FALSE)</f>
        <v>B</v>
      </c>
      <c r="Q38" t="str">
        <f t="shared" si="0"/>
        <v xml:space="preserve">    \ 37&amp;18&amp;f34, f39&amp;Herbal B&amp;B&amp;B&amp;2\\</v>
      </c>
      <c r="R38" t="s">
        <v>77</v>
      </c>
      <c r="S38" t="str">
        <f t="shared" si="1"/>
        <v xml:space="preserve">    \ 37&amp;f73, f&amp;f34, f39&amp;f34, f39&amp;f34, f39\\</v>
      </c>
      <c r="W38" t="s">
        <v>135</v>
      </c>
    </row>
    <row r="39" spans="1:23" x14ac:dyDescent="0.2">
      <c r="A39">
        <v>38</v>
      </c>
      <c r="B39">
        <v>33</v>
      </c>
      <c r="C39" t="str">
        <f>_xlfn.CONCAT("f",VLOOKUP(B39,Sheet2!A:C,2,FALSE),", f",VLOOKUP(B39,Sheet2!A:C,3,FALSE))</f>
        <v>f71, f72</v>
      </c>
      <c r="D39">
        <v>17</v>
      </c>
      <c r="E39" t="str">
        <f>_xlfn.CONCAT("f",VLOOKUP(D39,Sheet2!A:C,2,FALSE),", f",VLOOKUP(D39,Sheet2!A:C,3,FALSE))</f>
        <v>f33, f40</v>
      </c>
      <c r="F39">
        <v>17</v>
      </c>
      <c r="G39" t="str">
        <f>_xlfn.CONCAT("f",VLOOKUP(F39,Sheet2!A:C,2,FALSE),", f",VLOOKUP(F39,Sheet2!A:C,3,FALSE))</f>
        <v>f33, f40</v>
      </c>
      <c r="H39">
        <v>17</v>
      </c>
      <c r="I39" t="str">
        <f>_xlfn.CONCAT("f",VLOOKUP(H39,Sheet2!A:C,2,FALSE),", f",VLOOKUP(H39,Sheet2!A:C,3,FALSE))</f>
        <v>f33, f40</v>
      </c>
      <c r="J39">
        <f>VLOOKUP(H39,Sheet2!A:C,2,FALSE)</f>
        <v>33</v>
      </c>
      <c r="K39">
        <f>VLOOKUP(H39,Sheet2!A:C,3,FALSE)</f>
        <v>40</v>
      </c>
      <c r="M39" t="s">
        <v>36</v>
      </c>
      <c r="N39">
        <v>2</v>
      </c>
      <c r="O39" t="str">
        <f>VLOOKUP(H39,Sheet2!A:G,6,FALSE)</f>
        <v>C</v>
      </c>
      <c r="P39" t="str">
        <f>VLOOKUP(H39,Sheet2!A:G,7,FALSE)</f>
        <v>B</v>
      </c>
      <c r="Q39" t="str">
        <f t="shared" si="0"/>
        <v xml:space="preserve">    \ 38&amp;17&amp;f33, f40&amp;Herbal B&amp;B&amp;C&amp;2\\</v>
      </c>
      <c r="R39" t="s">
        <v>78</v>
      </c>
      <c r="S39" t="str">
        <f t="shared" si="1"/>
        <v xml:space="preserve">    \ 38&amp;f71, f72&amp;f33, f40&amp;f33, f40&amp;f33, f40\\</v>
      </c>
      <c r="W39" t="s">
        <v>136</v>
      </c>
    </row>
    <row r="40" spans="1:23" x14ac:dyDescent="0.2">
      <c r="A40">
        <v>39</v>
      </c>
      <c r="B40">
        <v>32</v>
      </c>
      <c r="C40" t="str">
        <f>_xlfn.CONCAT("f",VLOOKUP(B40,Sheet2!A:C,2,FALSE),", f",VLOOKUP(B40,Sheet2!A:C,3,FALSE))</f>
        <v>f69, f70</v>
      </c>
      <c r="D40">
        <v>26</v>
      </c>
      <c r="E40" t="str">
        <f>_xlfn.CONCAT("f",VLOOKUP(D40,Sheet2!A:C,2,FALSE),", f",VLOOKUP(D40,Sheet2!A:C,3,FALSE))</f>
        <v>f50, f55</v>
      </c>
      <c r="F40">
        <v>26</v>
      </c>
      <c r="G40" t="str">
        <f>_xlfn.CONCAT("f",VLOOKUP(F40,Sheet2!A:C,2,FALSE),", f",VLOOKUP(F40,Sheet2!A:C,3,FALSE))</f>
        <v>f50, f55</v>
      </c>
      <c r="H40">
        <v>26</v>
      </c>
      <c r="I40" t="str">
        <f>_xlfn.CONCAT("f",VLOOKUP(H40,Sheet2!A:C,2,FALSE),", f",VLOOKUP(H40,Sheet2!A:C,3,FALSE))</f>
        <v>f50, f55</v>
      </c>
      <c r="J40">
        <f>VLOOKUP(H40,Sheet2!A:C,2,FALSE)</f>
        <v>50</v>
      </c>
      <c r="K40">
        <f>VLOOKUP(H40,Sheet2!A:C,3,FALSE)</f>
        <v>55</v>
      </c>
      <c r="M40" t="s">
        <v>36</v>
      </c>
      <c r="N40">
        <v>2</v>
      </c>
      <c r="O40" t="str">
        <f>VLOOKUP(H40,Sheet2!A:G,6,FALSE)</f>
        <v>C</v>
      </c>
      <c r="P40" t="str">
        <f>VLOOKUP(H40,Sheet2!A:G,7,FALSE)</f>
        <v>B</v>
      </c>
      <c r="Q40" t="str">
        <f t="shared" si="0"/>
        <v xml:space="preserve">    \ 39&amp;26&amp;f50, f55&amp;Herbal B&amp;B&amp;C&amp;2\\</v>
      </c>
      <c r="R40" t="s">
        <v>79</v>
      </c>
      <c r="S40" t="str">
        <f t="shared" si="1"/>
        <v xml:space="preserve">    \ 39&amp;f69, f70&amp;f50, f55&amp;f50, f55&amp;f50, f55\\</v>
      </c>
      <c r="W40" t="s">
        <v>137</v>
      </c>
    </row>
    <row r="41" spans="1:23" x14ac:dyDescent="0.2">
      <c r="A41">
        <v>40</v>
      </c>
      <c r="B41">
        <v>30</v>
      </c>
      <c r="C41" t="str">
        <f>_xlfn.CONCAT("f",VLOOKUP(B41,Sheet2!A:C,2,FALSE),", f",VLOOKUP(B41,Sheet2!A:C,3,FALSE))</f>
        <v>f58, f65</v>
      </c>
      <c r="D41">
        <v>44</v>
      </c>
      <c r="E41" t="str">
        <f>_xlfn.CONCAT("f",VLOOKUP(D41,Sheet2!A:C,2,FALSE),", f",VLOOKUP(D41,Sheet2!A:C,3,FALSE))</f>
        <v>f94, f95</v>
      </c>
      <c r="F41">
        <v>44</v>
      </c>
      <c r="G41" t="str">
        <f>_xlfn.CONCAT("f",VLOOKUP(F41,Sheet2!A:C,2,FALSE),", f",VLOOKUP(F41,Sheet2!A:C,3,FALSE))</f>
        <v>f94, f95</v>
      </c>
      <c r="H41">
        <v>44</v>
      </c>
      <c r="I41" t="str">
        <f>_xlfn.CONCAT("f",VLOOKUP(H41,Sheet2!A:C,2,FALSE),", f",VLOOKUP(H41,Sheet2!A:C,3,FALSE))</f>
        <v>f94, f95</v>
      </c>
      <c r="J41">
        <f>VLOOKUP(H41,Sheet2!A:C,2,FALSE)</f>
        <v>94</v>
      </c>
      <c r="K41">
        <f>VLOOKUP(H41,Sheet2!A:C,3,FALSE)</f>
        <v>95</v>
      </c>
      <c r="M41" t="s">
        <v>36</v>
      </c>
      <c r="N41">
        <v>3</v>
      </c>
      <c r="O41" t="str">
        <f>VLOOKUP(H41,Sheet2!A:G,6,FALSE)</f>
        <v>B</v>
      </c>
      <c r="P41" t="str">
        <f>VLOOKUP(H41,Sheet2!A:G,7,FALSE)</f>
        <v>B</v>
      </c>
      <c r="Q41" t="str">
        <f t="shared" si="0"/>
        <v xml:space="preserve">    \ 40&amp;44&amp;f94, f95&amp;Herbal B&amp;B&amp;B&amp;3\\</v>
      </c>
      <c r="R41" t="s">
        <v>80</v>
      </c>
      <c r="S41" t="str">
        <f t="shared" si="1"/>
        <v xml:space="preserve">    \ 40&amp;f58, f65&amp;f94, f95&amp;f94, f95&amp;f94, f95\\</v>
      </c>
      <c r="W41" t="s">
        <v>138</v>
      </c>
    </row>
    <row r="42" spans="1:23" x14ac:dyDescent="0.2">
      <c r="A42">
        <v>41</v>
      </c>
      <c r="B42">
        <v>40</v>
      </c>
      <c r="C42" t="str">
        <f>_xlfn.CONCAT("f",VLOOKUP(B42,Sheet2!A:C,2,FALSE),", f",VLOOKUP(B42,Sheet2!A:C,3,FALSE))</f>
        <v>f85, f86</v>
      </c>
      <c r="D42">
        <v>40</v>
      </c>
      <c r="E42" t="str">
        <f>_xlfn.CONCAT("f",VLOOKUP(D42,Sheet2!A:C,2,FALSE),", f",VLOOKUP(D42,Sheet2!A:C,3,FALSE))</f>
        <v>f85, f86</v>
      </c>
      <c r="F42">
        <v>40</v>
      </c>
      <c r="G42" t="str">
        <f>_xlfn.CONCAT("f",VLOOKUP(F42,Sheet2!A:C,2,FALSE),", f",VLOOKUP(F42,Sheet2!A:C,3,FALSE))</f>
        <v>f85, f86</v>
      </c>
      <c r="H42">
        <v>40</v>
      </c>
      <c r="I42" t="str">
        <f>_xlfn.CONCAT("f",VLOOKUP(H42,Sheet2!A:C,2,FALSE),", f",VLOOKUP(H42,Sheet2!A:C,3,FALSE))</f>
        <v>f85, f86</v>
      </c>
      <c r="J42">
        <f>VLOOKUP(H42,Sheet2!A:C,2,FALSE)</f>
        <v>85</v>
      </c>
      <c r="K42">
        <f>VLOOKUP(H42,Sheet2!A:C,3,FALSE)</f>
        <v>86</v>
      </c>
      <c r="M42" t="s">
        <v>38</v>
      </c>
      <c r="N42">
        <v>2</v>
      </c>
      <c r="O42" t="str">
        <f>VLOOKUP(H42,Sheet2!A:G,6,FALSE)</f>
        <v>B</v>
      </c>
      <c r="P42" t="str">
        <f>VLOOKUP(H42,Sheet2!A:G,7,FALSE)</f>
        <v>B</v>
      </c>
      <c r="Q42" t="str">
        <f t="shared" ref="Q42:Q53" si="2">_xlfn.CONCAT("    \ ",A42,"&amp;",H42,"&amp;","f",J42,", f",K42,"&amp;",M42,"&amp;",P42,"&amp;",O42,"&amp;",N42,"\\")</f>
        <v xml:space="preserve">    \ 41&amp;40&amp;f85, f86&amp;Rosette&amp;B&amp;B&amp;2\\</v>
      </c>
      <c r="R42" t="s">
        <v>81</v>
      </c>
      <c r="S42" t="str">
        <f t="shared" si="1"/>
        <v xml:space="preserve">    \ 41&amp;f85, f86&amp;f85, f86&amp;f85, f86&amp;f85, f86\\</v>
      </c>
      <c r="W42" t="s">
        <v>139</v>
      </c>
    </row>
    <row r="43" spans="1:23" x14ac:dyDescent="0.2">
      <c r="A43">
        <v>42</v>
      </c>
      <c r="B43">
        <v>49</v>
      </c>
      <c r="C43" t="str">
        <f>_xlfn.CONCAT("f",VLOOKUP(B43,Sheet2!A:C,2,FALSE),", f",VLOOKUP(B43,Sheet2!A:C,3,FALSE))</f>
        <v>f105, f114</v>
      </c>
      <c r="D43">
        <v>49</v>
      </c>
      <c r="E43" t="str">
        <f>_xlfn.CONCAT("f",VLOOKUP(D43,Sheet2!A:C,2,FALSE),", f",VLOOKUP(D43,Sheet2!A:C,3,FALSE))</f>
        <v>f105, f114</v>
      </c>
      <c r="F43">
        <v>49</v>
      </c>
      <c r="G43" t="str">
        <f>_xlfn.CONCAT("f",VLOOKUP(F43,Sheet2!A:C,2,FALSE),", f",VLOOKUP(F43,Sheet2!A:C,3,FALSE))</f>
        <v>f105, f114</v>
      </c>
      <c r="H43">
        <v>49</v>
      </c>
      <c r="I43" t="str">
        <f>_xlfn.CONCAT("f",VLOOKUP(H43,Sheet2!A:C,2,FALSE),", f",VLOOKUP(H43,Sheet2!A:C,3,FALSE))</f>
        <v>f105, f114</v>
      </c>
      <c r="J43">
        <f>VLOOKUP(H43,Sheet2!A:C,2,FALSE)</f>
        <v>105</v>
      </c>
      <c r="K43">
        <f>VLOOKUP(H43,Sheet2!A:C,3,FALSE)</f>
        <v>114</v>
      </c>
      <c r="M43" t="s">
        <v>39</v>
      </c>
      <c r="N43">
        <v>2</v>
      </c>
      <c r="O43" t="str">
        <f>VLOOKUP(H43,Sheet2!A:G,6,FALSE)</f>
        <v>Bs</v>
      </c>
      <c r="P43" t="str">
        <f>VLOOKUP(H43,Sheet2!A:G,7,FALSE)</f>
        <v>B</v>
      </c>
      <c r="Q43" t="str">
        <f t="shared" si="2"/>
        <v xml:space="preserve">    \ 42&amp;49&amp;f105, f114&amp;Stars&amp;B&amp;Bs&amp;2\\</v>
      </c>
      <c r="R43" t="s">
        <v>82</v>
      </c>
      <c r="S43" t="str">
        <f t="shared" si="1"/>
        <v xml:space="preserve">    \ 42&amp;f105, f114&amp;f105, f114&amp;f105, f114&amp;f105, f114\\</v>
      </c>
      <c r="W43" t="s">
        <v>140</v>
      </c>
    </row>
    <row r="44" spans="1:23" x14ac:dyDescent="0.2">
      <c r="A44">
        <v>43</v>
      </c>
      <c r="B44">
        <v>48</v>
      </c>
      <c r="C44" t="str">
        <f>_xlfn.CONCAT("f",VLOOKUP(B44,Sheet2!A:C,2,FALSE),", f",VLOOKUP(B44,Sheet2!A:C,3,FALSE))</f>
        <v>f104, f115</v>
      </c>
      <c r="D44">
        <v>48</v>
      </c>
      <c r="E44" t="str">
        <f>_xlfn.CONCAT("f",VLOOKUP(D44,Sheet2!A:C,2,FALSE),", f",VLOOKUP(D44,Sheet2!A:C,3,FALSE))</f>
        <v>f104, f115</v>
      </c>
      <c r="F44">
        <v>48</v>
      </c>
      <c r="G44" t="str">
        <f>_xlfn.CONCAT("f",VLOOKUP(F44,Sheet2!A:C,2,FALSE),", f",VLOOKUP(F44,Sheet2!A:C,3,FALSE))</f>
        <v>f104, f115</v>
      </c>
      <c r="H44">
        <v>48</v>
      </c>
      <c r="I44" t="str">
        <f>_xlfn.CONCAT("f",VLOOKUP(H44,Sheet2!A:C,2,FALSE),", f",VLOOKUP(H44,Sheet2!A:C,3,FALSE))</f>
        <v>f104, f115</v>
      </c>
      <c r="J44">
        <f>VLOOKUP(H44,Sheet2!A:C,2,FALSE)</f>
        <v>104</v>
      </c>
      <c r="K44">
        <f>VLOOKUP(H44,Sheet2!A:C,3,FALSE)</f>
        <v>115</v>
      </c>
      <c r="M44" t="s">
        <v>39</v>
      </c>
      <c r="N44">
        <v>2</v>
      </c>
      <c r="O44" t="str">
        <f>VLOOKUP(H44,Sheet2!A:G,6,FALSE)</f>
        <v>Bs</v>
      </c>
      <c r="P44" t="str">
        <f>VLOOKUP(H44,Sheet2!A:G,7,FALSE)</f>
        <v>B</v>
      </c>
      <c r="Q44" t="str">
        <f t="shared" si="2"/>
        <v xml:space="preserve">    \ 43&amp;48&amp;f104, f115&amp;Stars&amp;B&amp;Bs&amp;2\\</v>
      </c>
      <c r="R44" t="s">
        <v>83</v>
      </c>
      <c r="S44" t="str">
        <f t="shared" si="1"/>
        <v xml:space="preserve">    \ 43&amp;f104, f115&amp;f104, f115&amp;f104, f115&amp;f104, f115\\</v>
      </c>
      <c r="W44" t="s">
        <v>141</v>
      </c>
    </row>
    <row r="45" spans="1:23" x14ac:dyDescent="0.2">
      <c r="A45">
        <v>44</v>
      </c>
      <c r="B45">
        <v>50</v>
      </c>
      <c r="C45" t="str">
        <f>_xlfn.CONCAT("f",VLOOKUP(B45,Sheet2!A:C,2,FALSE),", f",VLOOKUP(B45,Sheet2!A:C,3,FALSE))</f>
        <v>f106, f113</v>
      </c>
      <c r="D45">
        <v>50</v>
      </c>
      <c r="E45" t="str">
        <f>_xlfn.CONCAT("f",VLOOKUP(D45,Sheet2!A:C,2,FALSE),", f",VLOOKUP(D45,Sheet2!A:C,3,FALSE))</f>
        <v>f106, f113</v>
      </c>
      <c r="F45">
        <v>50</v>
      </c>
      <c r="G45" t="str">
        <f>_xlfn.CONCAT("f",VLOOKUP(F45,Sheet2!A:C,2,FALSE),", f",VLOOKUP(F45,Sheet2!A:C,3,FALSE))</f>
        <v>f106, f113</v>
      </c>
      <c r="H45">
        <v>50</v>
      </c>
      <c r="I45" t="str">
        <f>_xlfn.CONCAT("f",VLOOKUP(H45,Sheet2!A:C,2,FALSE),", f",VLOOKUP(H45,Sheet2!A:C,3,FALSE))</f>
        <v>f106, f113</v>
      </c>
      <c r="J45">
        <f>VLOOKUP(H45,Sheet2!A:C,2,FALSE)</f>
        <v>106</v>
      </c>
      <c r="K45">
        <f>VLOOKUP(H45,Sheet2!A:C,3,FALSE)</f>
        <v>113</v>
      </c>
      <c r="M45" t="s">
        <v>39</v>
      </c>
      <c r="N45">
        <v>2</v>
      </c>
      <c r="O45" t="str">
        <f>VLOOKUP(H45,Sheet2!A:G,6,FALSE)</f>
        <v>Bs</v>
      </c>
      <c r="P45" t="str">
        <f>VLOOKUP(H45,Sheet2!A:G,7,FALSE)</f>
        <v>B</v>
      </c>
      <c r="Q45" t="str">
        <f t="shared" si="2"/>
        <v xml:space="preserve">    \ 44&amp;50&amp;f106, f113&amp;Stars&amp;B&amp;Bs&amp;2\\</v>
      </c>
      <c r="R45" t="s">
        <v>84</v>
      </c>
      <c r="S45" t="str">
        <f t="shared" si="1"/>
        <v xml:space="preserve">    \ 44&amp;f106, f113&amp;f106, f113&amp;f106, f113&amp;f106, f113\\</v>
      </c>
      <c r="W45" t="s">
        <v>142</v>
      </c>
    </row>
    <row r="46" spans="1:23" x14ac:dyDescent="0.2">
      <c r="A46">
        <v>45</v>
      </c>
      <c r="B46">
        <v>51</v>
      </c>
      <c r="C46" t="str">
        <f>_xlfn.CONCAT("f",VLOOKUP(B46,Sheet2!A:C,2,FALSE),", f",VLOOKUP(B46,Sheet2!A:C,3,FALSE))</f>
        <v>f107, f112</v>
      </c>
      <c r="D46">
        <v>51</v>
      </c>
      <c r="E46" t="str">
        <f>_xlfn.CONCAT("f",VLOOKUP(D46,Sheet2!A:C,2,FALSE),", f",VLOOKUP(D46,Sheet2!A:C,3,FALSE))</f>
        <v>f107, f112</v>
      </c>
      <c r="F46">
        <v>51</v>
      </c>
      <c r="G46" t="str">
        <f>_xlfn.CONCAT("f",VLOOKUP(F46,Sheet2!A:C,2,FALSE),", f",VLOOKUP(F46,Sheet2!A:C,3,FALSE))</f>
        <v>f107, f112</v>
      </c>
      <c r="H46">
        <v>51</v>
      </c>
      <c r="I46" t="str">
        <f>_xlfn.CONCAT("f",VLOOKUP(H46,Sheet2!A:C,2,FALSE),", f",VLOOKUP(H46,Sheet2!A:C,3,FALSE))</f>
        <v>f107, f112</v>
      </c>
      <c r="J46">
        <f>VLOOKUP(H46,Sheet2!A:C,2,FALSE)</f>
        <v>107</v>
      </c>
      <c r="K46">
        <f>VLOOKUP(H46,Sheet2!A:C,3,FALSE)</f>
        <v>112</v>
      </c>
      <c r="M46" t="s">
        <v>39</v>
      </c>
      <c r="N46">
        <v>2</v>
      </c>
      <c r="O46" t="str">
        <f>VLOOKUP(H46,Sheet2!A:G,6,FALSE)</f>
        <v>Bs</v>
      </c>
      <c r="P46" t="str">
        <f>VLOOKUP(H46,Sheet2!A:G,7,FALSE)</f>
        <v>B</v>
      </c>
      <c r="Q46" t="str">
        <f t="shared" si="2"/>
        <v xml:space="preserve">    \ 45&amp;51&amp;f107, f112&amp;Stars&amp;B&amp;Bs&amp;2\\</v>
      </c>
      <c r="R46" t="s">
        <v>85</v>
      </c>
      <c r="S46" t="str">
        <f t="shared" si="1"/>
        <v xml:space="preserve">    \ 45&amp;f107, f112&amp;f107, f112&amp;f107, f112&amp;f107, f112\\</v>
      </c>
      <c r="W46" t="s">
        <v>143</v>
      </c>
    </row>
    <row r="47" spans="1:23" x14ac:dyDescent="0.2">
      <c r="A47">
        <v>46</v>
      </c>
      <c r="B47">
        <v>52</v>
      </c>
      <c r="C47" t="str">
        <f>_xlfn.CONCAT("f",VLOOKUP(B47,Sheet2!A:C,2,FALSE),", f",VLOOKUP(B47,Sheet2!A:C,3,FALSE))</f>
        <v>f108, f111</v>
      </c>
      <c r="D47">
        <v>52</v>
      </c>
      <c r="E47" t="str">
        <f>_xlfn.CONCAT("f",VLOOKUP(D47,Sheet2!A:C,2,FALSE),", f",VLOOKUP(D47,Sheet2!A:C,3,FALSE))</f>
        <v>f108, f111</v>
      </c>
      <c r="F47">
        <v>52</v>
      </c>
      <c r="G47" t="str">
        <f>_xlfn.CONCAT("f",VLOOKUP(F47,Sheet2!A:C,2,FALSE),", f",VLOOKUP(F47,Sheet2!A:C,3,FALSE))</f>
        <v>f108, f111</v>
      </c>
      <c r="H47">
        <v>52</v>
      </c>
      <c r="I47" t="str">
        <f>_xlfn.CONCAT("f",VLOOKUP(H47,Sheet2!A:C,2,FALSE),", f",VLOOKUP(H47,Sheet2!A:C,3,FALSE))</f>
        <v>f108, f111</v>
      </c>
      <c r="J47">
        <f>VLOOKUP(H47,Sheet2!A:C,2,FALSE)</f>
        <v>108</v>
      </c>
      <c r="K47">
        <f>VLOOKUP(H47,Sheet2!A:C,3,FALSE)</f>
        <v>111</v>
      </c>
      <c r="M47" t="s">
        <v>39</v>
      </c>
      <c r="N47">
        <v>2</v>
      </c>
      <c r="O47" t="str">
        <f>VLOOKUP(H47,Sheet2!A:G,6,FALSE)</f>
        <v>Bs</v>
      </c>
      <c r="P47" t="str">
        <f>VLOOKUP(H47,Sheet2!A:G,7,FALSE)</f>
        <v>B</v>
      </c>
      <c r="Q47" t="str">
        <f t="shared" si="2"/>
        <v xml:space="preserve">    \ 46&amp;52&amp;f108, f111&amp;Stars&amp;B&amp;Bs&amp;2\\</v>
      </c>
      <c r="R47" t="s">
        <v>86</v>
      </c>
      <c r="S47" t="str">
        <f t="shared" si="1"/>
        <v xml:space="preserve">    \ 46&amp;f108, f111&amp;f108, f111&amp;f108, f111&amp;f108, f111\\</v>
      </c>
      <c r="W47" t="s">
        <v>144</v>
      </c>
    </row>
    <row r="48" spans="1:23" x14ac:dyDescent="0.2">
      <c r="A48">
        <v>47</v>
      </c>
      <c r="B48">
        <v>47</v>
      </c>
      <c r="C48" t="str">
        <f>_xlfn.CONCAT("f",VLOOKUP(B48,Sheet2!A:C,2,FALSE),", f",VLOOKUP(B48,Sheet2!A:C,3,FALSE))</f>
        <v>f103, f116</v>
      </c>
      <c r="D48">
        <v>47</v>
      </c>
      <c r="E48" t="str">
        <f>_xlfn.CONCAT("f",VLOOKUP(D48,Sheet2!A:C,2,FALSE),", f",VLOOKUP(D48,Sheet2!A:C,3,FALSE))</f>
        <v>f103, f116</v>
      </c>
      <c r="F48">
        <v>47</v>
      </c>
      <c r="G48" t="str">
        <f>_xlfn.CONCAT("f",VLOOKUP(F48,Sheet2!A:C,2,FALSE),", f",VLOOKUP(F48,Sheet2!A:C,3,FALSE))</f>
        <v>f103, f116</v>
      </c>
      <c r="H48">
        <v>47</v>
      </c>
      <c r="I48" t="str">
        <f>_xlfn.CONCAT("f",VLOOKUP(H48,Sheet2!A:C,2,FALSE),", f",VLOOKUP(H48,Sheet2!A:C,3,FALSE))</f>
        <v>f103, f116</v>
      </c>
      <c r="J48">
        <f>VLOOKUP(H48,Sheet2!A:C,2,FALSE)</f>
        <v>103</v>
      </c>
      <c r="K48">
        <f>VLOOKUP(H48,Sheet2!A:C,3,FALSE)</f>
        <v>116</v>
      </c>
      <c r="M48" t="s">
        <v>39</v>
      </c>
      <c r="N48">
        <v>3</v>
      </c>
      <c r="O48" t="str">
        <f>VLOOKUP(H48,Sheet2!A:G,6,FALSE)</f>
        <v>B</v>
      </c>
      <c r="P48" t="str">
        <f>VLOOKUP(H48,Sheet2!A:G,7,FALSE)</f>
        <v>B</v>
      </c>
      <c r="Q48" t="str">
        <f t="shared" si="2"/>
        <v xml:space="preserve">    \ 47&amp;47&amp;f103, f116&amp;Stars&amp;B&amp;B&amp;3\\</v>
      </c>
      <c r="R48" t="s">
        <v>87</v>
      </c>
      <c r="S48" t="str">
        <f t="shared" si="1"/>
        <v xml:space="preserve">    \ 47&amp;f103, f116&amp;f103, f116&amp;f103, f116&amp;f103, f116\\</v>
      </c>
      <c r="W48" t="s">
        <v>145</v>
      </c>
    </row>
    <row r="49" spans="1:23" x14ac:dyDescent="0.2">
      <c r="A49">
        <v>48</v>
      </c>
      <c r="B49">
        <v>37</v>
      </c>
      <c r="C49" t="str">
        <f>_xlfn.CONCAT("f",VLOOKUP(B49,Sheet2!A:C,2,FALSE),", f",VLOOKUP(B49,Sheet2!A:C,3,FALSE))</f>
        <v>f77, f82</v>
      </c>
      <c r="D49">
        <v>39</v>
      </c>
      <c r="E49" t="str">
        <f>_xlfn.CONCAT("f",VLOOKUP(D49,Sheet2!A:C,2,FALSE),", f",VLOOKUP(D49,Sheet2!A:C,3,FALSE))</f>
        <v>f79, f80</v>
      </c>
      <c r="F49">
        <v>36</v>
      </c>
      <c r="G49" t="str">
        <f>_xlfn.CONCAT("f",VLOOKUP(F49,Sheet2!A:C,2,FALSE),", f",VLOOKUP(F49,Sheet2!A:C,3,FALSE))</f>
        <v>f76, f83</v>
      </c>
      <c r="H49">
        <v>36</v>
      </c>
      <c r="I49" t="str">
        <f>_xlfn.CONCAT("f",VLOOKUP(H49,Sheet2!A:C,2,FALSE),", f",VLOOKUP(H49,Sheet2!A:C,3,FALSE))</f>
        <v>f76, f83</v>
      </c>
      <c r="J49">
        <f>VLOOKUP(H49,Sheet2!A:C,2,FALSE)</f>
        <v>76</v>
      </c>
      <c r="K49">
        <f>VLOOKUP(H49,Sheet2!A:C,3,FALSE)</f>
        <v>83</v>
      </c>
      <c r="M49" t="s">
        <v>37</v>
      </c>
      <c r="N49">
        <v>3</v>
      </c>
      <c r="O49" t="str">
        <f>VLOOKUP(H49,Sheet2!A:G,6,FALSE)</f>
        <v>Bb</v>
      </c>
      <c r="P49" t="str">
        <f>VLOOKUP(H49,Sheet2!A:G,7,FALSE)</f>
        <v>B</v>
      </c>
      <c r="Q49" t="str">
        <f t="shared" si="2"/>
        <v xml:space="preserve">    \ 48&amp;36&amp;f76, f83&amp;Biological&amp;B&amp;Bb&amp;3\\</v>
      </c>
      <c r="R49" t="s">
        <v>88</v>
      </c>
      <c r="S49" t="str">
        <f t="shared" si="1"/>
        <v xml:space="preserve">    \ 48&amp;f77, f82&amp;f79, f80&amp;f76, f83&amp;f76, f83\\</v>
      </c>
      <c r="W49" t="s">
        <v>146</v>
      </c>
    </row>
    <row r="50" spans="1:23" x14ac:dyDescent="0.2">
      <c r="A50">
        <v>49</v>
      </c>
      <c r="B50">
        <v>36</v>
      </c>
      <c r="C50" t="str">
        <f>_xlfn.CONCAT("f",VLOOKUP(B50,Sheet2!A:C,2,FALSE),", f",VLOOKUP(B50,Sheet2!A:C,3,FALSE))</f>
        <v>f76, f83</v>
      </c>
      <c r="D50">
        <v>37</v>
      </c>
      <c r="E50" t="str">
        <f>_xlfn.CONCAT("f",VLOOKUP(D50,Sheet2!A:C,2,FALSE),", f",VLOOKUP(D50,Sheet2!A:C,3,FALSE))</f>
        <v>f77, f82</v>
      </c>
      <c r="F50">
        <v>38</v>
      </c>
      <c r="G50" t="str">
        <f>_xlfn.CONCAT("f",VLOOKUP(F50,Sheet2!A:C,2,FALSE),", f",VLOOKUP(F50,Sheet2!A:C,3,FALSE))</f>
        <v>f78, f81</v>
      </c>
      <c r="H50">
        <v>37</v>
      </c>
      <c r="I50" t="str">
        <f>_xlfn.CONCAT("f",VLOOKUP(H50,Sheet2!A:C,2,FALSE),", f",VLOOKUP(H50,Sheet2!A:C,3,FALSE))</f>
        <v>f77, f82</v>
      </c>
      <c r="J50">
        <f>VLOOKUP(H50,Sheet2!A:C,2,FALSE)</f>
        <v>77</v>
      </c>
      <c r="K50">
        <f>VLOOKUP(H50,Sheet2!A:C,3,FALSE)</f>
        <v>82</v>
      </c>
      <c r="M50" t="s">
        <v>37</v>
      </c>
      <c r="N50">
        <v>3</v>
      </c>
      <c r="O50" t="str">
        <f>VLOOKUP(H50,Sheet2!A:G,6,FALSE)</f>
        <v>Bb</v>
      </c>
      <c r="P50" t="str">
        <f>VLOOKUP(H50,Sheet2!A:G,7,FALSE)</f>
        <v>B</v>
      </c>
      <c r="Q50" t="str">
        <f t="shared" si="2"/>
        <v xml:space="preserve">    \ 49&amp;37&amp;f77, f82&amp;Biological&amp;B&amp;Bb&amp;3\\</v>
      </c>
      <c r="R50" t="s">
        <v>89</v>
      </c>
      <c r="S50" t="str">
        <f t="shared" si="1"/>
        <v xml:space="preserve">    \ 49&amp;f76, f83&amp;f77, f82&amp;f78, f81&amp;f77, f82\\</v>
      </c>
      <c r="W50" t="s">
        <v>147</v>
      </c>
    </row>
    <row r="51" spans="1:23" x14ac:dyDescent="0.2">
      <c r="A51">
        <v>50</v>
      </c>
      <c r="B51">
        <v>38</v>
      </c>
      <c r="C51" t="str">
        <f>_xlfn.CONCAT("f",VLOOKUP(B51,Sheet2!A:C,2,FALSE),", f",VLOOKUP(B51,Sheet2!A:C,3,FALSE))</f>
        <v>f78, f81</v>
      </c>
      <c r="D51">
        <v>36</v>
      </c>
      <c r="E51" t="str">
        <f>_xlfn.CONCAT("f",VLOOKUP(D51,Sheet2!A:C,2,FALSE),", f",VLOOKUP(D51,Sheet2!A:C,3,FALSE))</f>
        <v>f76, f83</v>
      </c>
      <c r="F51">
        <v>35</v>
      </c>
      <c r="G51" t="str">
        <f>_xlfn.CONCAT("f",VLOOKUP(F51,Sheet2!A:C,2,FALSE),", f",VLOOKUP(F51,Sheet2!A:C,3,FALSE))</f>
        <v>f75, f84</v>
      </c>
      <c r="H51">
        <v>39</v>
      </c>
      <c r="I51" t="str">
        <f>_xlfn.CONCAT("f",VLOOKUP(H51,Sheet2!A:C,2,FALSE),", f",VLOOKUP(H51,Sheet2!A:C,3,FALSE))</f>
        <v>f79, f80</v>
      </c>
      <c r="J51">
        <f>VLOOKUP(H51,Sheet2!A:C,2,FALSE)</f>
        <v>79</v>
      </c>
      <c r="K51">
        <f>VLOOKUP(H51,Sheet2!A:C,3,FALSE)</f>
        <v>80</v>
      </c>
      <c r="M51" t="s">
        <v>37</v>
      </c>
      <c r="N51">
        <v>3</v>
      </c>
      <c r="O51" t="str">
        <f>VLOOKUP(H51,Sheet2!A:G,6,FALSE)</f>
        <v>Bb</v>
      </c>
      <c r="P51" t="str">
        <f>VLOOKUP(H51,Sheet2!A:G,7,FALSE)</f>
        <v>B</v>
      </c>
      <c r="Q51" t="str">
        <f t="shared" si="2"/>
        <v xml:space="preserve">    \ 50&amp;39&amp;f79, f80&amp;Biological&amp;B&amp;Bb&amp;3\\</v>
      </c>
      <c r="R51" t="s">
        <v>90</v>
      </c>
      <c r="S51" t="str">
        <f t="shared" si="1"/>
        <v xml:space="preserve">    \ 50&amp;f78, f81&amp;f76, f83&amp;f75, f84&amp;f79, f80\\</v>
      </c>
      <c r="W51" t="s">
        <v>148</v>
      </c>
    </row>
    <row r="52" spans="1:23" x14ac:dyDescent="0.2">
      <c r="A52">
        <v>51</v>
      </c>
      <c r="B52">
        <v>35</v>
      </c>
      <c r="C52" t="str">
        <f>_xlfn.CONCAT("f",VLOOKUP(B52,Sheet2!A:C,2,FALSE),", f",VLOOKUP(B52,Sheet2!A:C,3,FALSE))</f>
        <v>f75, f84</v>
      </c>
      <c r="D52">
        <v>35</v>
      </c>
      <c r="E52" t="str">
        <f>_xlfn.CONCAT("f",VLOOKUP(D52,Sheet2!A:C,2,FALSE),", f",VLOOKUP(D52,Sheet2!A:C,3,FALSE))</f>
        <v>f75, f84</v>
      </c>
      <c r="F52">
        <v>39</v>
      </c>
      <c r="G52" t="str">
        <f>_xlfn.CONCAT("f",VLOOKUP(F52,Sheet2!A:C,2,FALSE),", f",VLOOKUP(F52,Sheet2!A:C,3,FALSE))</f>
        <v>f79, f80</v>
      </c>
      <c r="H52">
        <v>35</v>
      </c>
      <c r="I52" t="str">
        <f>_xlfn.CONCAT("f",VLOOKUP(H52,Sheet2!A:C,2,FALSE),", f",VLOOKUP(H52,Sheet2!A:C,3,FALSE))</f>
        <v>f75, f84</v>
      </c>
      <c r="J52">
        <f>VLOOKUP(H52,Sheet2!A:C,2,FALSE)</f>
        <v>75</v>
      </c>
      <c r="K52">
        <f>VLOOKUP(H52,Sheet2!A:C,3,FALSE)</f>
        <v>84</v>
      </c>
      <c r="M52" t="s">
        <v>37</v>
      </c>
      <c r="N52">
        <v>3</v>
      </c>
      <c r="O52" t="str">
        <f>VLOOKUP(H52,Sheet2!A:G,6,FALSE)</f>
        <v>Bb</v>
      </c>
      <c r="P52" t="str">
        <f>VLOOKUP(H52,Sheet2!A:G,7,FALSE)</f>
        <v>B</v>
      </c>
      <c r="Q52" t="str">
        <f t="shared" si="2"/>
        <v xml:space="preserve">    \ 51&amp;35&amp;f75, f84&amp;Biological&amp;B&amp;Bb&amp;3\\</v>
      </c>
      <c r="R52" t="s">
        <v>91</v>
      </c>
      <c r="S52" t="str">
        <f t="shared" si="1"/>
        <v xml:space="preserve">    \ 51&amp;f75, f84&amp;f75, f84&amp;f79, f80&amp;f75, f84\\</v>
      </c>
      <c r="W52" t="s">
        <v>149</v>
      </c>
    </row>
    <row r="53" spans="1:23" x14ac:dyDescent="0.2">
      <c r="A53">
        <v>52</v>
      </c>
      <c r="B53">
        <v>39</v>
      </c>
      <c r="C53" t="str">
        <f>_xlfn.CONCAT("f",VLOOKUP(B53,Sheet2!A:C,2,FALSE),", f",VLOOKUP(B53,Sheet2!A:C,3,FALSE))</f>
        <v>f79, f80</v>
      </c>
      <c r="D53">
        <v>38</v>
      </c>
      <c r="E53" t="str">
        <f>_xlfn.CONCAT("f",VLOOKUP(D53,Sheet2!A:C,2,FALSE),", f",VLOOKUP(D53,Sheet2!A:C,3,FALSE))</f>
        <v>f78, f81</v>
      </c>
      <c r="F53">
        <v>37</v>
      </c>
      <c r="G53" t="str">
        <f>_xlfn.CONCAT("f",VLOOKUP(F53,Sheet2!A:C,2,FALSE),", f",VLOOKUP(F53,Sheet2!A:C,3,FALSE))</f>
        <v>f77, f82</v>
      </c>
      <c r="H53">
        <v>38</v>
      </c>
      <c r="I53" t="str">
        <f>_xlfn.CONCAT("f",VLOOKUP(H53,Sheet2!A:C,2,FALSE),", f",VLOOKUP(H53,Sheet2!A:C,3,FALSE))</f>
        <v>f78, f81</v>
      </c>
      <c r="J53">
        <f>VLOOKUP(H53,Sheet2!A:C,2,FALSE)</f>
        <v>78</v>
      </c>
      <c r="K53">
        <f>VLOOKUP(H53,Sheet2!A:C,3,FALSE)</f>
        <v>81</v>
      </c>
      <c r="M53" t="s">
        <v>37</v>
      </c>
      <c r="N53">
        <v>3</v>
      </c>
      <c r="O53" t="str">
        <f>VLOOKUP(H53,Sheet2!A:G,6,FALSE)</f>
        <v>Bb</v>
      </c>
      <c r="P53" t="str">
        <f>VLOOKUP(H53,Sheet2!A:G,7,FALSE)</f>
        <v>B</v>
      </c>
      <c r="Q53" t="str">
        <f t="shared" si="2"/>
        <v xml:space="preserve">    \ 52&amp;38&amp;f78, f81&amp;Biological&amp;B&amp;Bb&amp;3\\</v>
      </c>
      <c r="R53" t="s">
        <v>92</v>
      </c>
      <c r="S53" t="str">
        <f t="shared" si="1"/>
        <v xml:space="preserve">    \ 52&amp;f79, f80&amp;f78, f81&amp;f77, f82&amp;f78, f81\\</v>
      </c>
      <c r="W53" t="s">
        <v>150</v>
      </c>
    </row>
  </sheetData>
  <conditionalFormatting sqref="B2:G53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2:I44 H47:I53 I45:I46 H42:H48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EBED-F3D4-014E-84B7-D5D4D08343B7}">
  <dimension ref="A1:G53"/>
  <sheetViews>
    <sheetView workbookViewId="0">
      <selection activeCell="I19" sqref="I19"/>
    </sheetView>
  </sheetViews>
  <sheetFormatPr baseColWidth="10" defaultRowHeight="16" x14ac:dyDescent="0.2"/>
  <cols>
    <col min="5" max="5" width="13.83203125" customWidth="1"/>
    <col min="6" max="6" width="19.33203125" customWidth="1"/>
    <col min="7" max="7" width="19" customWidth="1"/>
  </cols>
  <sheetData>
    <row r="1" spans="1:7" x14ac:dyDescent="0.2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">
      <c r="A2">
        <v>1</v>
      </c>
      <c r="B2">
        <v>1</v>
      </c>
      <c r="C2">
        <v>8</v>
      </c>
      <c r="D2">
        <v>2</v>
      </c>
      <c r="E2" t="s">
        <v>9</v>
      </c>
      <c r="F2" t="s">
        <v>10</v>
      </c>
      <c r="G2" t="s">
        <v>10</v>
      </c>
    </row>
    <row r="3" spans="1:7" x14ac:dyDescent="0.2">
      <c r="A3">
        <v>2</v>
      </c>
      <c r="B3">
        <v>2</v>
      </c>
      <c r="C3">
        <v>7</v>
      </c>
      <c r="D3">
        <v>2</v>
      </c>
      <c r="E3" t="s">
        <v>9</v>
      </c>
      <c r="F3" t="s">
        <v>10</v>
      </c>
      <c r="G3" t="s">
        <v>10</v>
      </c>
    </row>
    <row r="4" spans="1:7" x14ac:dyDescent="0.2">
      <c r="A4">
        <v>3</v>
      </c>
      <c r="B4">
        <v>3</v>
      </c>
      <c r="C4">
        <v>6</v>
      </c>
      <c r="D4">
        <v>2</v>
      </c>
      <c r="E4" t="s">
        <v>9</v>
      </c>
      <c r="F4" t="s">
        <v>10</v>
      </c>
      <c r="G4" t="s">
        <v>10</v>
      </c>
    </row>
    <row r="5" spans="1:7" x14ac:dyDescent="0.2">
      <c r="A5">
        <v>4</v>
      </c>
      <c r="B5">
        <v>4</v>
      </c>
      <c r="C5">
        <v>5</v>
      </c>
      <c r="D5">
        <v>2</v>
      </c>
      <c r="E5" t="s">
        <v>9</v>
      </c>
      <c r="F5" t="s">
        <v>10</v>
      </c>
      <c r="G5" t="s">
        <v>10</v>
      </c>
    </row>
    <row r="6" spans="1:7" x14ac:dyDescent="0.2">
      <c r="A6">
        <v>5</v>
      </c>
      <c r="B6">
        <v>9</v>
      </c>
      <c r="C6">
        <v>16</v>
      </c>
      <c r="D6">
        <v>2</v>
      </c>
      <c r="E6" t="s">
        <v>9</v>
      </c>
      <c r="F6" t="s">
        <v>10</v>
      </c>
      <c r="G6" t="s">
        <v>10</v>
      </c>
    </row>
    <row r="7" spans="1:7" x14ac:dyDescent="0.2">
      <c r="A7">
        <v>6</v>
      </c>
      <c r="B7">
        <v>10</v>
      </c>
      <c r="C7">
        <v>15</v>
      </c>
      <c r="D7">
        <v>2</v>
      </c>
      <c r="E7" t="s">
        <v>9</v>
      </c>
      <c r="F7" t="s">
        <v>10</v>
      </c>
      <c r="G7" t="s">
        <v>10</v>
      </c>
    </row>
    <row r="8" spans="1:7" x14ac:dyDescent="0.2">
      <c r="A8">
        <v>7</v>
      </c>
      <c r="B8">
        <v>11</v>
      </c>
      <c r="C8">
        <v>14</v>
      </c>
      <c r="D8">
        <v>2</v>
      </c>
      <c r="E8" t="s">
        <v>9</v>
      </c>
      <c r="F8" t="s">
        <v>10</v>
      </c>
      <c r="G8" t="s">
        <v>10</v>
      </c>
    </row>
    <row r="9" spans="1:7" x14ac:dyDescent="0.2">
      <c r="A9">
        <v>8</v>
      </c>
      <c r="B9">
        <v>13</v>
      </c>
      <c r="D9">
        <v>1</v>
      </c>
      <c r="E9" t="s">
        <v>9</v>
      </c>
      <c r="F9" t="s">
        <v>10</v>
      </c>
      <c r="G9" t="s">
        <v>10</v>
      </c>
    </row>
    <row r="10" spans="1:7" x14ac:dyDescent="0.2">
      <c r="A10">
        <v>9</v>
      </c>
      <c r="B10">
        <v>17</v>
      </c>
      <c r="C10">
        <v>24</v>
      </c>
      <c r="D10">
        <v>2</v>
      </c>
      <c r="E10" t="s">
        <v>9</v>
      </c>
      <c r="F10" t="s">
        <v>10</v>
      </c>
      <c r="G10" t="s">
        <v>10</v>
      </c>
    </row>
    <row r="11" spans="1:7" x14ac:dyDescent="0.2">
      <c r="A11">
        <v>10</v>
      </c>
      <c r="B11">
        <v>18</v>
      </c>
      <c r="C11">
        <v>23</v>
      </c>
      <c r="D11">
        <v>2</v>
      </c>
      <c r="E11" t="s">
        <v>9</v>
      </c>
      <c r="F11" t="s">
        <v>10</v>
      </c>
      <c r="G11" t="s">
        <v>10</v>
      </c>
    </row>
    <row r="12" spans="1:7" x14ac:dyDescent="0.2">
      <c r="A12">
        <v>11</v>
      </c>
      <c r="B12">
        <v>19</v>
      </c>
      <c r="C12">
        <v>22</v>
      </c>
      <c r="D12">
        <v>2</v>
      </c>
      <c r="E12" t="s">
        <v>9</v>
      </c>
      <c r="F12" t="s">
        <v>10</v>
      </c>
      <c r="G12" t="s">
        <v>10</v>
      </c>
    </row>
    <row r="13" spans="1:7" x14ac:dyDescent="0.2">
      <c r="A13">
        <v>12</v>
      </c>
      <c r="B13">
        <v>20</v>
      </c>
      <c r="C13">
        <v>21</v>
      </c>
      <c r="D13">
        <v>2</v>
      </c>
      <c r="E13" t="s">
        <v>9</v>
      </c>
      <c r="F13" t="s">
        <v>10</v>
      </c>
      <c r="G13" t="s">
        <v>10</v>
      </c>
    </row>
    <row r="14" spans="1:7" x14ac:dyDescent="0.2">
      <c r="A14">
        <v>13</v>
      </c>
      <c r="B14">
        <v>25</v>
      </c>
      <c r="C14">
        <v>32</v>
      </c>
      <c r="D14">
        <v>2</v>
      </c>
      <c r="E14" t="s">
        <v>9</v>
      </c>
      <c r="F14" t="s">
        <v>10</v>
      </c>
      <c r="G14" t="s">
        <v>10</v>
      </c>
    </row>
    <row r="15" spans="1:7" x14ac:dyDescent="0.2">
      <c r="A15">
        <v>14</v>
      </c>
      <c r="B15">
        <v>26</v>
      </c>
      <c r="C15">
        <v>31</v>
      </c>
      <c r="D15">
        <v>2</v>
      </c>
      <c r="E15" t="s">
        <v>14</v>
      </c>
      <c r="F15" t="s">
        <v>13</v>
      </c>
      <c r="G15" t="s">
        <v>13</v>
      </c>
    </row>
    <row r="16" spans="1:7" x14ac:dyDescent="0.2">
      <c r="A16">
        <v>15</v>
      </c>
      <c r="B16">
        <v>27</v>
      </c>
      <c r="C16">
        <v>30</v>
      </c>
      <c r="D16">
        <v>2</v>
      </c>
      <c r="E16" t="s">
        <v>9</v>
      </c>
      <c r="F16" t="s">
        <v>10</v>
      </c>
      <c r="G16" t="s">
        <v>10</v>
      </c>
    </row>
    <row r="17" spans="1:7" x14ac:dyDescent="0.2">
      <c r="A17">
        <v>16</v>
      </c>
      <c r="B17">
        <v>28</v>
      </c>
      <c r="C17">
        <v>29</v>
      </c>
      <c r="D17">
        <v>2</v>
      </c>
      <c r="E17" t="s">
        <v>9</v>
      </c>
      <c r="F17" t="s">
        <v>10</v>
      </c>
      <c r="G17" t="s">
        <v>10</v>
      </c>
    </row>
    <row r="18" spans="1:7" x14ac:dyDescent="0.2">
      <c r="A18">
        <v>17</v>
      </c>
      <c r="B18">
        <v>33</v>
      </c>
      <c r="C18">
        <v>40</v>
      </c>
      <c r="D18">
        <v>2</v>
      </c>
      <c r="E18" t="s">
        <v>14</v>
      </c>
      <c r="F18" t="s">
        <v>15</v>
      </c>
      <c r="G18" t="s">
        <v>13</v>
      </c>
    </row>
    <row r="19" spans="1:7" x14ac:dyDescent="0.2">
      <c r="A19">
        <v>18</v>
      </c>
      <c r="B19">
        <v>34</v>
      </c>
      <c r="C19">
        <v>39</v>
      </c>
      <c r="D19">
        <v>2</v>
      </c>
      <c r="E19" t="s">
        <v>14</v>
      </c>
      <c r="F19" t="s">
        <v>13</v>
      </c>
      <c r="G19" t="s">
        <v>13</v>
      </c>
    </row>
    <row r="20" spans="1:7" x14ac:dyDescent="0.2">
      <c r="A20">
        <v>19</v>
      </c>
      <c r="B20">
        <v>35</v>
      </c>
      <c r="C20">
        <v>38</v>
      </c>
      <c r="D20">
        <v>2</v>
      </c>
      <c r="E20" t="s">
        <v>9</v>
      </c>
      <c r="F20" t="s">
        <v>10</v>
      </c>
      <c r="G20" t="s">
        <v>10</v>
      </c>
    </row>
    <row r="21" spans="1:7" x14ac:dyDescent="0.2">
      <c r="A21">
        <v>20</v>
      </c>
      <c r="B21">
        <v>36</v>
      </c>
      <c r="C21">
        <v>37</v>
      </c>
      <c r="D21">
        <v>2</v>
      </c>
      <c r="E21" t="s">
        <v>9</v>
      </c>
      <c r="F21" t="s">
        <v>10</v>
      </c>
      <c r="G21" t="s">
        <v>10</v>
      </c>
    </row>
    <row r="22" spans="1:7" x14ac:dyDescent="0.2">
      <c r="A22">
        <v>21</v>
      </c>
      <c r="B22">
        <v>41</v>
      </c>
      <c r="C22">
        <v>48</v>
      </c>
      <c r="D22">
        <v>2</v>
      </c>
      <c r="E22" t="s">
        <v>17</v>
      </c>
      <c r="F22" t="s">
        <v>13</v>
      </c>
      <c r="G22" t="s">
        <v>13</v>
      </c>
    </row>
    <row r="23" spans="1:7" x14ac:dyDescent="0.2">
      <c r="A23">
        <v>22</v>
      </c>
      <c r="B23">
        <v>42</v>
      </c>
      <c r="C23">
        <v>47</v>
      </c>
      <c r="D23">
        <v>2</v>
      </c>
      <c r="E23" t="s">
        <v>9</v>
      </c>
      <c r="F23" t="s">
        <v>10</v>
      </c>
      <c r="G23" t="s">
        <v>10</v>
      </c>
    </row>
    <row r="24" spans="1:7" x14ac:dyDescent="0.2">
      <c r="A24">
        <v>23</v>
      </c>
      <c r="B24">
        <v>43</v>
      </c>
      <c r="C24">
        <v>46</v>
      </c>
      <c r="D24">
        <v>2</v>
      </c>
      <c r="E24" t="s">
        <v>14</v>
      </c>
      <c r="F24" t="s">
        <v>16</v>
      </c>
      <c r="G24" t="s">
        <v>13</v>
      </c>
    </row>
    <row r="25" spans="1:7" x14ac:dyDescent="0.2">
      <c r="A25">
        <v>24</v>
      </c>
      <c r="B25">
        <v>44</v>
      </c>
      <c r="C25">
        <v>45</v>
      </c>
      <c r="D25">
        <v>2</v>
      </c>
      <c r="E25" t="s">
        <v>9</v>
      </c>
      <c r="F25" t="s">
        <v>10</v>
      </c>
      <c r="G25" t="s">
        <v>10</v>
      </c>
    </row>
    <row r="26" spans="1:7" x14ac:dyDescent="0.2">
      <c r="A26">
        <v>25</v>
      </c>
      <c r="B26">
        <v>49</v>
      </c>
      <c r="C26">
        <v>56</v>
      </c>
      <c r="D26">
        <v>2</v>
      </c>
      <c r="E26" t="s">
        <v>9</v>
      </c>
      <c r="F26" t="s">
        <v>10</v>
      </c>
      <c r="G26" t="s">
        <v>10</v>
      </c>
    </row>
    <row r="27" spans="1:7" x14ac:dyDescent="0.2">
      <c r="A27">
        <v>26</v>
      </c>
      <c r="B27">
        <v>50</v>
      </c>
      <c r="C27">
        <v>55</v>
      </c>
      <c r="D27">
        <v>2</v>
      </c>
      <c r="E27" t="s">
        <v>14</v>
      </c>
      <c r="F27" t="s">
        <v>15</v>
      </c>
      <c r="G27" t="s">
        <v>13</v>
      </c>
    </row>
    <row r="28" spans="1:7" x14ac:dyDescent="0.2">
      <c r="A28">
        <v>27</v>
      </c>
      <c r="B28">
        <v>51</v>
      </c>
      <c r="C28">
        <v>54</v>
      </c>
      <c r="D28">
        <v>2</v>
      </c>
      <c r="E28" t="s">
        <v>9</v>
      </c>
      <c r="F28" t="s">
        <v>10</v>
      </c>
      <c r="G28" t="s">
        <v>10</v>
      </c>
    </row>
    <row r="29" spans="1:7" x14ac:dyDescent="0.2">
      <c r="A29">
        <v>28</v>
      </c>
      <c r="B29">
        <v>52</v>
      </c>
      <c r="C29">
        <v>53</v>
      </c>
      <c r="D29">
        <v>2</v>
      </c>
      <c r="E29" t="s">
        <v>9</v>
      </c>
      <c r="F29" t="s">
        <v>10</v>
      </c>
      <c r="G29" t="s">
        <v>10</v>
      </c>
    </row>
    <row r="30" spans="1:7" x14ac:dyDescent="0.2">
      <c r="A30">
        <v>29</v>
      </c>
      <c r="B30">
        <v>57</v>
      </c>
      <c r="C30">
        <v>66</v>
      </c>
      <c r="D30">
        <v>2</v>
      </c>
      <c r="E30" t="s">
        <v>17</v>
      </c>
      <c r="F30" t="s">
        <v>15</v>
      </c>
      <c r="G30" t="s">
        <v>13</v>
      </c>
    </row>
    <row r="31" spans="1:7" x14ac:dyDescent="0.2">
      <c r="A31">
        <v>30</v>
      </c>
      <c r="B31">
        <v>58</v>
      </c>
      <c r="C31">
        <v>65</v>
      </c>
      <c r="D31">
        <v>2</v>
      </c>
      <c r="E31" t="s">
        <v>12</v>
      </c>
      <c r="F31" t="s">
        <v>10</v>
      </c>
      <c r="G31" t="s">
        <v>10</v>
      </c>
    </row>
    <row r="32" spans="1:7" x14ac:dyDescent="0.2">
      <c r="A32">
        <v>31</v>
      </c>
      <c r="B32">
        <v>67</v>
      </c>
      <c r="C32">
        <v>68</v>
      </c>
      <c r="D32">
        <v>2</v>
      </c>
      <c r="E32" t="s">
        <v>18</v>
      </c>
      <c r="F32" t="s">
        <v>19</v>
      </c>
      <c r="G32" t="s">
        <v>20</v>
      </c>
    </row>
    <row r="33" spans="1:7" x14ac:dyDescent="0.2">
      <c r="A33">
        <v>32</v>
      </c>
      <c r="B33">
        <v>69</v>
      </c>
      <c r="C33">
        <v>70</v>
      </c>
      <c r="D33">
        <v>2</v>
      </c>
      <c r="E33" t="s">
        <v>18</v>
      </c>
      <c r="F33" t="s">
        <v>19</v>
      </c>
      <c r="G33" t="s">
        <v>20</v>
      </c>
    </row>
    <row r="34" spans="1:7" x14ac:dyDescent="0.2">
      <c r="A34">
        <v>33</v>
      </c>
      <c r="B34">
        <v>71</v>
      </c>
      <c r="C34">
        <v>72</v>
      </c>
      <c r="D34">
        <v>2</v>
      </c>
      <c r="E34" t="s">
        <v>18</v>
      </c>
      <c r="F34" t="s">
        <v>19</v>
      </c>
      <c r="G34" t="s">
        <v>20</v>
      </c>
    </row>
    <row r="35" spans="1:7" x14ac:dyDescent="0.2">
      <c r="A35">
        <v>34</v>
      </c>
      <c r="B35">
        <v>73</v>
      </c>
      <c r="D35">
        <v>1</v>
      </c>
      <c r="E35" t="s">
        <v>18</v>
      </c>
      <c r="F35" t="s">
        <v>16</v>
      </c>
      <c r="G35" t="s">
        <v>20</v>
      </c>
    </row>
    <row r="36" spans="1:7" x14ac:dyDescent="0.2">
      <c r="A36">
        <v>35</v>
      </c>
      <c r="B36">
        <v>75</v>
      </c>
      <c r="C36">
        <v>84</v>
      </c>
      <c r="D36">
        <v>2</v>
      </c>
      <c r="E36" t="s">
        <v>14</v>
      </c>
      <c r="F36" t="s">
        <v>21</v>
      </c>
      <c r="G36" t="s">
        <v>13</v>
      </c>
    </row>
    <row r="37" spans="1:7" x14ac:dyDescent="0.2">
      <c r="A37">
        <v>36</v>
      </c>
      <c r="B37">
        <v>76</v>
      </c>
      <c r="C37">
        <v>83</v>
      </c>
      <c r="D37">
        <v>2</v>
      </c>
      <c r="E37" t="s">
        <v>14</v>
      </c>
      <c r="F37" t="s">
        <v>21</v>
      </c>
      <c r="G37" t="s">
        <v>13</v>
      </c>
    </row>
    <row r="38" spans="1:7" x14ac:dyDescent="0.2">
      <c r="A38">
        <v>37</v>
      </c>
      <c r="B38">
        <v>77</v>
      </c>
      <c r="C38">
        <v>82</v>
      </c>
      <c r="D38">
        <v>2</v>
      </c>
      <c r="E38" t="s">
        <v>14</v>
      </c>
      <c r="F38" t="s">
        <v>21</v>
      </c>
      <c r="G38" t="s">
        <v>13</v>
      </c>
    </row>
    <row r="39" spans="1:7" x14ac:dyDescent="0.2">
      <c r="A39">
        <v>38</v>
      </c>
      <c r="B39">
        <v>78</v>
      </c>
      <c r="C39">
        <v>81</v>
      </c>
      <c r="D39">
        <v>2</v>
      </c>
      <c r="E39" t="s">
        <v>14</v>
      </c>
      <c r="F39" t="s">
        <v>21</v>
      </c>
      <c r="G39" t="s">
        <v>13</v>
      </c>
    </row>
    <row r="40" spans="1:7" x14ac:dyDescent="0.2">
      <c r="A40">
        <v>39</v>
      </c>
      <c r="B40">
        <v>79</v>
      </c>
      <c r="C40">
        <v>80</v>
      </c>
      <c r="D40">
        <v>2</v>
      </c>
      <c r="E40" t="s">
        <v>14</v>
      </c>
      <c r="F40" t="s">
        <v>21</v>
      </c>
      <c r="G40" t="s">
        <v>13</v>
      </c>
    </row>
    <row r="41" spans="1:7" x14ac:dyDescent="0.2">
      <c r="A41">
        <v>40</v>
      </c>
      <c r="B41">
        <v>85</v>
      </c>
      <c r="C41">
        <v>86</v>
      </c>
      <c r="D41">
        <v>2</v>
      </c>
      <c r="E41" t="s">
        <v>14</v>
      </c>
      <c r="F41" t="s">
        <v>13</v>
      </c>
      <c r="G41" t="s">
        <v>13</v>
      </c>
    </row>
    <row r="42" spans="1:7" x14ac:dyDescent="0.2">
      <c r="A42">
        <v>41</v>
      </c>
      <c r="B42">
        <v>87</v>
      </c>
      <c r="C42">
        <v>90</v>
      </c>
      <c r="D42">
        <v>2</v>
      </c>
      <c r="E42" t="s">
        <v>9</v>
      </c>
      <c r="F42" t="s">
        <v>11</v>
      </c>
      <c r="G42" t="s">
        <v>10</v>
      </c>
    </row>
    <row r="43" spans="1:7" x14ac:dyDescent="0.2">
      <c r="A43">
        <v>42</v>
      </c>
      <c r="B43">
        <v>88</v>
      </c>
      <c r="C43">
        <v>89</v>
      </c>
      <c r="D43">
        <v>2</v>
      </c>
      <c r="E43" t="s">
        <v>9</v>
      </c>
      <c r="F43" t="s">
        <v>11</v>
      </c>
      <c r="G43" t="s">
        <v>10</v>
      </c>
    </row>
    <row r="44" spans="1:7" x14ac:dyDescent="0.2">
      <c r="A44">
        <v>43</v>
      </c>
      <c r="B44">
        <v>93</v>
      </c>
      <c r="C44">
        <v>96</v>
      </c>
      <c r="D44">
        <v>2</v>
      </c>
      <c r="E44" t="s">
        <v>9</v>
      </c>
      <c r="F44" t="s">
        <v>11</v>
      </c>
      <c r="G44" t="s">
        <v>10</v>
      </c>
    </row>
    <row r="45" spans="1:7" x14ac:dyDescent="0.2">
      <c r="A45">
        <v>44</v>
      </c>
      <c r="B45">
        <v>94</v>
      </c>
      <c r="C45">
        <v>95</v>
      </c>
      <c r="D45">
        <v>2</v>
      </c>
      <c r="E45" t="s">
        <v>12</v>
      </c>
      <c r="F45" t="s">
        <v>13</v>
      </c>
      <c r="G45" t="s">
        <v>13</v>
      </c>
    </row>
    <row r="46" spans="1:7" x14ac:dyDescent="0.2">
      <c r="A46">
        <v>45</v>
      </c>
      <c r="B46">
        <v>99</v>
      </c>
      <c r="C46">
        <v>102</v>
      </c>
      <c r="D46">
        <v>2</v>
      </c>
      <c r="E46" t="s">
        <v>9</v>
      </c>
      <c r="F46" t="s">
        <v>11</v>
      </c>
      <c r="G46" t="s">
        <v>10</v>
      </c>
    </row>
    <row r="47" spans="1:7" x14ac:dyDescent="0.2">
      <c r="A47">
        <v>46</v>
      </c>
      <c r="B47">
        <v>100</v>
      </c>
      <c r="C47">
        <v>101</v>
      </c>
      <c r="D47">
        <v>2</v>
      </c>
      <c r="E47" t="s">
        <v>9</v>
      </c>
      <c r="F47" t="s">
        <v>11</v>
      </c>
      <c r="G47" t="s">
        <v>10</v>
      </c>
    </row>
    <row r="48" spans="1:7" x14ac:dyDescent="0.2">
      <c r="A48">
        <v>47</v>
      </c>
      <c r="B48">
        <v>103</v>
      </c>
      <c r="C48">
        <v>116</v>
      </c>
      <c r="D48">
        <v>2</v>
      </c>
      <c r="E48" t="s">
        <v>12</v>
      </c>
      <c r="F48" t="s">
        <v>13</v>
      </c>
      <c r="G48" t="s">
        <v>13</v>
      </c>
    </row>
    <row r="49" spans="1:7" x14ac:dyDescent="0.2">
      <c r="A49">
        <v>48</v>
      </c>
      <c r="B49">
        <v>104</v>
      </c>
      <c r="C49">
        <v>115</v>
      </c>
      <c r="D49">
        <v>2</v>
      </c>
      <c r="E49" t="s">
        <v>12</v>
      </c>
      <c r="F49" t="s">
        <v>16</v>
      </c>
      <c r="G49" t="s">
        <v>13</v>
      </c>
    </row>
    <row r="50" spans="1:7" x14ac:dyDescent="0.2">
      <c r="A50">
        <v>49</v>
      </c>
      <c r="B50">
        <v>105</v>
      </c>
      <c r="C50">
        <v>114</v>
      </c>
      <c r="D50">
        <v>2</v>
      </c>
      <c r="E50" t="s">
        <v>12</v>
      </c>
      <c r="F50" t="s">
        <v>16</v>
      </c>
      <c r="G50" t="s">
        <v>13</v>
      </c>
    </row>
    <row r="51" spans="1:7" x14ac:dyDescent="0.2">
      <c r="A51">
        <v>50</v>
      </c>
      <c r="B51">
        <v>106</v>
      </c>
      <c r="C51">
        <v>113</v>
      </c>
      <c r="D51">
        <v>2</v>
      </c>
      <c r="E51" t="s">
        <v>12</v>
      </c>
      <c r="F51" t="s">
        <v>16</v>
      </c>
      <c r="G51" t="s">
        <v>13</v>
      </c>
    </row>
    <row r="52" spans="1:7" x14ac:dyDescent="0.2">
      <c r="A52">
        <v>51</v>
      </c>
      <c r="B52">
        <v>107</v>
      </c>
      <c r="C52">
        <v>112</v>
      </c>
      <c r="D52">
        <v>2</v>
      </c>
      <c r="E52" t="s">
        <v>12</v>
      </c>
      <c r="F52" t="s">
        <v>16</v>
      </c>
      <c r="G52" t="s">
        <v>13</v>
      </c>
    </row>
    <row r="53" spans="1:7" x14ac:dyDescent="0.2">
      <c r="A53">
        <v>52</v>
      </c>
      <c r="B53">
        <v>108</v>
      </c>
      <c r="C53">
        <v>111</v>
      </c>
      <c r="D53">
        <v>2</v>
      </c>
      <c r="E53" t="s">
        <v>12</v>
      </c>
      <c r="F53" t="s">
        <v>16</v>
      </c>
      <c r="G53" t="s">
        <v>13</v>
      </c>
    </row>
  </sheetData>
  <sortState xmlns:xlrd2="http://schemas.microsoft.com/office/spreadsheetml/2017/richdata2" ref="A2:G53">
    <sortCondition ref="A2:A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Greshko, Michael</dc:creator>
  <cp:lastModifiedBy>Greshko, Michael</cp:lastModifiedBy>
  <dcterms:created xsi:type="dcterms:W3CDTF">2026-05-19T03:10:15Z</dcterms:created>
  <dcterms:modified xsi:type="dcterms:W3CDTF">2026-07-29T15:09:49Z</dcterms:modified>
</cp:coreProperties>
</file>