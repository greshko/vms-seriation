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outputs_final/consensus_seriation/"/>
    </mc:Choice>
  </mc:AlternateContent>
  <xr:revisionPtr revIDLastSave="0" documentId="13_ncr:1_{A8A113BD-3BFD-1447-B0FD-3B233A54D210}" xr6:coauthVersionLast="47" xr6:coauthVersionMax="47" xr10:uidLastSave="{00000000-0000-0000-0000-000000000000}"/>
  <bookViews>
    <workbookView xWindow="5240" yWindow="660" windowWidth="25000" windowHeight="1784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S2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S10" i="1" s="1"/>
  <c r="E11" i="1"/>
  <c r="E12" i="1"/>
  <c r="E13" i="1"/>
  <c r="E14" i="1"/>
  <c r="E15" i="1"/>
  <c r="E16" i="1"/>
  <c r="E17" i="1"/>
  <c r="E18" i="1"/>
  <c r="E19" i="1"/>
  <c r="E20" i="1"/>
  <c r="E21" i="1"/>
  <c r="E22" i="1"/>
  <c r="S22" i="1" s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S4" i="1" s="1"/>
  <c r="C5" i="1"/>
  <c r="S5" i="1" s="1"/>
  <c r="C6" i="1"/>
  <c r="C7" i="1"/>
  <c r="C8" i="1"/>
  <c r="C9" i="1"/>
  <c r="C10" i="1"/>
  <c r="C11" i="1"/>
  <c r="C12" i="1"/>
  <c r="C13" i="1"/>
  <c r="S13" i="1" s="1"/>
  <c r="C14" i="1"/>
  <c r="S14" i="1" s="1"/>
  <c r="C15" i="1"/>
  <c r="C16" i="1"/>
  <c r="S16" i="1" s="1"/>
  <c r="C17" i="1"/>
  <c r="S17" i="1" s="1"/>
  <c r="C18" i="1"/>
  <c r="S18" i="1" s="1"/>
  <c r="C19" i="1"/>
  <c r="C20" i="1"/>
  <c r="C21" i="1"/>
  <c r="C22" i="1"/>
  <c r="C23" i="1"/>
  <c r="C24" i="1"/>
  <c r="C25" i="1"/>
  <c r="C26" i="1"/>
  <c r="S26" i="1" s="1"/>
  <c r="C27" i="1"/>
  <c r="C28" i="1"/>
  <c r="S28" i="1" s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S7" i="1" l="1"/>
  <c r="S6" i="1"/>
  <c r="S20" i="1"/>
  <c r="S8" i="1"/>
  <c r="S32" i="1"/>
  <c r="S19" i="1"/>
  <c r="S47" i="1"/>
  <c r="S40" i="1"/>
  <c r="S44" i="1"/>
  <c r="S3" i="1"/>
  <c r="S27" i="1"/>
  <c r="S36" i="1"/>
  <c r="S35" i="1"/>
  <c r="S23" i="1"/>
  <c r="S11" i="1"/>
  <c r="S48" i="1"/>
  <c r="S39" i="1"/>
  <c r="S15" i="1"/>
  <c r="S38" i="1"/>
  <c r="S49" i="1"/>
  <c r="S12" i="1"/>
  <c r="S2" i="1"/>
  <c r="S37" i="1"/>
  <c r="S24" i="1"/>
  <c r="S21" i="1"/>
  <c r="S9" i="1"/>
  <c r="S53" i="1"/>
  <c r="S52" i="1"/>
  <c r="S51" i="1"/>
  <c r="S50" i="1"/>
  <c r="S42" i="1"/>
  <c r="S41" i="1"/>
  <c r="S30" i="1"/>
  <c r="S29" i="1"/>
  <c r="S43" i="1"/>
  <c r="Q53" i="1"/>
  <c r="Q29" i="1"/>
  <c r="Q17" i="1"/>
  <c r="Q5" i="1"/>
  <c r="S46" i="1"/>
  <c r="S34" i="1"/>
  <c r="S31" i="1"/>
  <c r="Q41" i="1"/>
  <c r="Q52" i="1"/>
  <c r="Q40" i="1"/>
  <c r="Q28" i="1"/>
  <c r="Q16" i="1"/>
  <c r="Q4" i="1"/>
  <c r="S45" i="1"/>
  <c r="S33" i="1"/>
  <c r="Q23" i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<sst xmlns="http://schemas.openxmlformats.org/spreadsheetml/2006/main" count="338" uniqueCount="153">
  <si>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</si>
  <si>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</si>
  <si>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</si>
  <si>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</si>
  <si>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</si>
  <si>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</si>
  <si>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</si>
  <si>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</si>
  <si>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</si>
  <si>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</si>
  <si>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</si>
  <si>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</si>
  <si>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</si>
  <si>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</si>
  <si>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</si>
  <si>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</si>
  <si>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</si>
  <si>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</si>
  <si>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</si>
  <si>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</si>
  <si>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</si>
  <si>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</si>
  <si>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</si>
  <si>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</si>
  <si>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</si>
  <si>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</si>
  <si>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</si>
  <si>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</si>
  <si>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</si>
  <si>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</si>
  <si>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</si>
  <si>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</si>
  <si>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</si>
  <si>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</si>
  <si>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</si>
  <si>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</si>
  <si>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</si>
  <si>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</si>
  <si>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</si>
  <si>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</si>
  <si>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</si>
  <si>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</si>
  <si>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</si>
  <si>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</si>
  <si>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</si>
  <si>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</si>
  <si>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</si>
  <si>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</si>
  <si>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</si>
  <si>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</si>
  <si>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</si>
  <si>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</si>
  <si>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</si>
  <si>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</si>
  <si>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</si>
  <si>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</si>
  <si>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</si>
  <si>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</si>
  <si>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</si>
  <si>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</si>
  <si>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</si>
  <si>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</si>
  <si>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</si>
  <si>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</si>
  <si>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</si>
  <si>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</si>
  <si>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</si>
  <si>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</si>
  <si>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</si>
  <si>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</si>
  <si>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</si>
  <si>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</si>
  <si>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</si>
  <si>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</si>
  <si>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</si>
  <si>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</si>
  <si>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</si>
  <si>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</si>
  <si>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</si>
  <si>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</si>
  <si>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</si>
  <si>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</si>
  <si>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</si>
  <si>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</si>
  <si>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</si>
  <si>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</si>
  <si>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</si>
  <si>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</si>
  <si>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</si>
  <si>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</si>
  <si>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</si>
  <si>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</si>
  <si>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</si>
  <si>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</si>
  <si>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</si>
  <si>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</si>
  <si>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</si>
  <si>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</si>
  <si>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</si>
  <si>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</si>
  <si>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</si>
  <si>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</si>
  <si>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</si>
  <si>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</si>
  <si>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</si>
  <si>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</si>
  <si>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</si>
  <si>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</si>
  <si>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</si>
  <si>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</si>
  <si>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</si>
  <si>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</si>
  <si>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</si>
  <si>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</si>
  <si>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</si>
  <si>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</si>
  <si>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</si>
  <si>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</si>
  <si>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</si>
  <si>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</si>
  <si>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</si>
  <si>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</si>
  <si>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</si>
  <si>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</si>
  <si>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</si>
  <si>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</si>
  <si>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</si>
  <si>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</si>
  <si>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</si>
  <si>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</si>
  <si>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</si>
  <si>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</si>
  <si>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</si>
  <si>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</si>
  <si>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</si>
  <si>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</si>
  <si>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</si>
  <si>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</si>
  <si>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</si>
  <si>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</si>
  <si>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</si>
  <si>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</si>
  <si>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</si>
  <si>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</si>
  <si>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</si>
  <si>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</si>
  <si>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</si>
  <si>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</si>
  <si>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</si>
  <si>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</si>
  <si>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</si>
  <si>
    <t>Herbal A3</t>
  </si>
  <si>
    <t>Herbal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</si>
</sst>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zoomScale="99" workbookViewId="0">
      <selection activeCell="M9" sqref="M9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41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33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A2&amp;A&amp;A&amp;1\\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33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A2&amp;A&amp;A&amp;1\\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33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A2&amp;A&amp;A&amp;1\\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33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A2&amp;A&amp;A&amp;1\\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151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A3&amp;A&amp;A&amp;1\\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151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A3&amp;A&amp;A&amp;1\\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151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A3&amp;A&amp;A&amp;1\\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151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A3&amp;A&amp;A&amp;1\\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151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A3&amp;A&amp;A&amp;1\\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151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A3&amp;A&amp;A&amp;1\\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151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A3&amp;A&amp;A&amp;1\\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151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A3&amp;A&amp;A&amp;1\\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152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A4&amp;A&amp;A&amp;1\\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152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A4&amp;A&amp;A&amp;1\\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152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A4&amp;A&amp;A&amp;1\\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152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A4&amp;A&amp;A&amp;1\\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30</v>
      </c>
      <c r="I29" t="str">
        <f>_xlfn.CONCAT("f",VLOOKUP(H29,Sheet2!A:C,2,FALSE),", f",VLOOKUP(H29,Sheet2!A:C,3,FALSE))</f>
        <v>f58, f65</v>
      </c>
      <c r="J29">
        <f>VLOOKUP(H29,Sheet2!A:C,2,FALSE)</f>
        <v>58</v>
      </c>
      <c r="K29">
        <f>VLOOKUP(H29,Sheet2!A:C,3,FALSE)</f>
        <v>65</v>
      </c>
      <c r="M29" t="s">
        <v>35</v>
      </c>
      <c r="N29">
        <v>4</v>
      </c>
      <c r="O29" t="str">
        <f>VLOOKUP(H29,Sheet2!A:G,6,FALSE)</f>
        <v>A</v>
      </c>
      <c r="P29" t="str">
        <f>VLOOKUP(H29,Sheet2!A:G,7,FALSE)</f>
        <v>A</v>
      </c>
      <c r="Q29" t="str">
        <f t="shared" si="0"/>
        <v xml:space="preserve">    \ 28&amp;30&amp;f58, f65&amp;Cosmological/Astrological&amp;A&amp;A&amp;4\\</v>
      </c>
      <c r="R29" t="s">
        <v>68</v>
      </c>
      <c r="S29" t="str">
        <f t="shared" si="1"/>
        <v xml:space="preserve">    \ 28&amp;f94, f95&amp;f67, f68&amp;f73, f&amp;f58, f65\\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>_xlfn.CONCAT("    \ ",A30,"&amp;",H30,"&amp;","f",J30,", f",K30,"&amp;",M30,"&amp;",P30,"&amp;",O30,"&amp;",N30,"\\")</f>
        <v xml:space="preserve">    \ 29&amp;32&amp;f69, f70&amp;Cosmological/Astrological&amp;-&amp;Ce&amp;4\\</v>
      </c>
      <c r="R30" t="s">
        <v>69</v>
      </c>
      <c r="S30" t="str">
        <f t="shared" si="1"/>
        <v xml:space="preserve">    \ 29&amp;f50, f55&amp;f58, f65&amp;f71, f72&amp;f69, f70\\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  <c r="Q31" t="str">
        <f>_xlfn.CONCAT("    \ ",A31,"&amp;",H31,"&amp;","f",J31,", f",K31,"&amp;",M31,"&amp;",P31,"&amp;",O31,"&amp;",N31,"\\")</f>
        <v xml:space="preserve">    \ 30&amp;33&amp;f71, f72&amp;Cosmological/Astrological&amp;-&amp;Ce&amp;4\\</v>
      </c>
      <c r="R31" t="s">
        <v>70</v>
      </c>
      <c r="S31" t="str">
        <f t="shared" si="1"/>
        <v xml:space="preserve">    \ 30&amp;f33, f40&amp;f69, f70&amp;f69, f70&amp;f71, f72\\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  <c r="Q32" t="str">
        <f>_xlfn.CONCAT("    \ ",A32,"&amp;",H32,"&amp;","f",J32,", f",K32,"&amp;",M32,"&amp;",P32,"&amp;",O32,"&amp;",N32,"\\")</f>
        <v xml:space="preserve">    \ 31&amp;34&amp;f73, f0&amp;Cosmological/Astrological&amp;-&amp;Bs&amp;4\\</v>
      </c>
      <c r="R32" t="s">
        <v>71</v>
      </c>
      <c r="S32" t="str">
        <f t="shared" si="1"/>
        <v xml:space="preserve">    \ 31&amp;f34, f39&amp;f71, f72&amp;f58, f65&amp;f73, f\\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31</v>
      </c>
      <c r="I33" t="str">
        <f>_xlfn.CONCAT("f",VLOOKUP(H33,Sheet2!A:C,2,FALSE),", f",VLOOKUP(H33,Sheet2!A:C,3,FALSE))</f>
        <v>f67, f68</v>
      </c>
      <c r="J33">
        <f>VLOOKUP(H33,Sheet2!A:C,2,FALSE)</f>
        <v>67</v>
      </c>
      <c r="K33">
        <f>VLOOKUP(H33,Sheet2!A:C,3,FALSE)</f>
        <v>68</v>
      </c>
      <c r="M33" t="s">
        <v>35</v>
      </c>
      <c r="N33">
        <v>3</v>
      </c>
      <c r="O33" t="str">
        <f>VLOOKUP(H33,Sheet2!A:G,6,FALSE)</f>
        <v>Ce</v>
      </c>
      <c r="P33" t="str">
        <f>VLOOKUP(H33,Sheet2!A:G,7,FALSE)</f>
        <v>-</v>
      </c>
      <c r="Q33" t="str">
        <f>_xlfn.CONCAT("    \ ",A33,"&amp;",H33,"&amp;","f",J33,", f",K33,"&amp;",M33,"&amp;",P33,"&amp;",O33,"&amp;",N33,"\\")</f>
        <v xml:space="preserve">    \ 32&amp;31&amp;f67, f68&amp;Cosmological/Astrological&amp;-&amp;Ce&amp;3\\</v>
      </c>
      <c r="R33" t="s">
        <v>72</v>
      </c>
      <c r="S33" t="str">
        <f t="shared" si="1"/>
        <v xml:space="preserve">    \ 32&amp;f43, f46&amp;f73, f&amp;f67, f68&amp;f67, f68\\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>_xlfn.CONCAT("    \ ",A34,"&amp;",H34,"&amp;","f",J34,", f",K34,"&amp;",M34,"&amp;",P34,"&amp;",O34,"&amp;",N34,"\\")</f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40</v>
      </c>
      <c r="I42" t="str">
        <f>_xlfn.CONCAT("f",VLOOKUP(H42,Sheet2!A:C,2,FALSE),", f",VLOOKUP(H42,Sheet2!A:C,3,FALSE))</f>
        <v>f85, f86</v>
      </c>
      <c r="J42">
        <f>VLOOKUP(H42,Sheet2!A:C,2,FALSE)</f>
        <v>85</v>
      </c>
      <c r="K42">
        <f>VLOOKUP(H42,Sheet2!A:C,3,FALSE)</f>
        <v>86</v>
      </c>
      <c r="M42" t="s">
        <v>38</v>
      </c>
      <c r="N42">
        <v>2</v>
      </c>
      <c r="O42" t="str">
        <f>VLOOKUP(H42,Sheet2!A:G,6,FALSE)</f>
        <v>B</v>
      </c>
      <c r="P42" t="str">
        <f>VLOOKUP(H42,Sheet2!A:G,7,FALSE)</f>
        <v>B</v>
      </c>
      <c r="Q42" t="str">
        <f t="shared" ref="Q42:Q53" si="2">_xlfn.CONCAT("    \ ",A42,"&amp;",H42,"&amp;","f",J42,", f",K42,"&amp;",M42,"&amp;",P42,"&amp;",O42,"&amp;",N42,"\\")</f>
        <v xml:space="preserve">    \ 41&amp;40&amp;f85, f86&amp;Rosette&amp;B&amp;B&amp;2\\</v>
      </c>
      <c r="R42" t="s">
        <v>81</v>
      </c>
      <c r="S42" t="str">
        <f t="shared" si="1"/>
        <v xml:space="preserve">    \ 41&amp;f85, f86&amp;f85, f86&amp;f85, f86&amp;f85, f86\\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49</v>
      </c>
      <c r="I43" t="str">
        <f>_xlfn.CONCAT("f",VLOOKUP(H43,Sheet2!A:C,2,FALSE),", f",VLOOKUP(H43,Sheet2!A:C,3,FALSE))</f>
        <v>f105, f114</v>
      </c>
      <c r="J43">
        <f>VLOOKUP(H43,Sheet2!A:C,2,FALSE)</f>
        <v>105</v>
      </c>
      <c r="K43">
        <f>VLOOKUP(H43,Sheet2!A:C,3,FALSE)</f>
        <v>114</v>
      </c>
      <c r="M43" t="s">
        <v>39</v>
      </c>
      <c r="N43">
        <v>2</v>
      </c>
      <c r="O43" t="str">
        <f>VLOOKUP(H43,Sheet2!A:G,6,FALSE)</f>
        <v>Bs</v>
      </c>
      <c r="P43" t="str">
        <f>VLOOKUP(H43,Sheet2!A:G,7,FALSE)</f>
        <v>B</v>
      </c>
      <c r="Q43" t="str">
        <f t="shared" si="2"/>
        <v xml:space="preserve">    \ 42&amp;49&amp;f105, f114&amp;Stars&amp;B&amp;Bs&amp;2\\</v>
      </c>
      <c r="R43" t="s">
        <v>82</v>
      </c>
      <c r="S43" t="str">
        <f t="shared" si="1"/>
        <v xml:space="preserve">    \ 42&amp;f105, f114&amp;f105, f114&amp;f105, f114&amp;f105, f114\\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48</v>
      </c>
      <c r="I44" t="str">
        <f>_xlfn.CONCAT("f",VLOOKUP(H44,Sheet2!A:C,2,FALSE),", f",VLOOKUP(H44,Sheet2!A:C,3,FALSE))</f>
        <v>f104, f115</v>
      </c>
      <c r="J44">
        <f>VLOOKUP(H44,Sheet2!A:C,2,FALSE)</f>
        <v>104</v>
      </c>
      <c r="K44">
        <f>VLOOKUP(H44,Sheet2!A:C,3,FALSE)</f>
        <v>115</v>
      </c>
      <c r="M44" t="s">
        <v>39</v>
      </c>
      <c r="N44">
        <v>2</v>
      </c>
      <c r="O44" t="str">
        <f>VLOOKUP(H44,Sheet2!A:G,6,FALSE)</f>
        <v>Bs</v>
      </c>
      <c r="P44" t="str">
        <f>VLOOKUP(H44,Sheet2!A:G,7,FALSE)</f>
        <v>B</v>
      </c>
      <c r="Q44" t="str">
        <f t="shared" si="2"/>
        <v xml:space="preserve">    \ 43&amp;48&amp;f104, f115&amp;Stars&amp;B&amp;Bs&amp;2\\</v>
      </c>
      <c r="R44" t="s">
        <v>83</v>
      </c>
      <c r="S44" t="str">
        <f t="shared" si="1"/>
        <v xml:space="preserve">    \ 43&amp;f104, f115&amp;f104, f115&amp;f104, f115&amp;f104, f115\\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50</v>
      </c>
      <c r="I45" t="str">
        <f>_xlfn.CONCAT("f",VLOOKUP(H45,Sheet2!A:C,2,FALSE),", f",VLOOKUP(H45,Sheet2!A:C,3,FALSE))</f>
        <v>f106, f113</v>
      </c>
      <c r="J45">
        <f>VLOOKUP(H45,Sheet2!A:C,2,FALSE)</f>
        <v>106</v>
      </c>
      <c r="K45">
        <f>VLOOKUP(H45,Sheet2!A:C,3,FALSE)</f>
        <v>113</v>
      </c>
      <c r="M45" t="s">
        <v>39</v>
      </c>
      <c r="N45">
        <v>2</v>
      </c>
      <c r="O45" t="str">
        <f>VLOOKUP(H45,Sheet2!A:G,6,FALSE)</f>
        <v>Bs</v>
      </c>
      <c r="P45" t="str">
        <f>VLOOKUP(H45,Sheet2!A:G,7,FALSE)</f>
        <v>B</v>
      </c>
      <c r="Q45" t="str">
        <f t="shared" si="2"/>
        <v xml:space="preserve">    \ 44&amp;50&amp;f106, f113&amp;Stars&amp;B&amp;Bs&amp;2\\</v>
      </c>
      <c r="R45" t="s">
        <v>84</v>
      </c>
      <c r="S45" t="str">
        <f t="shared" si="1"/>
        <v xml:space="preserve">    \ 44&amp;f106, f113&amp;f106, f113&amp;f106, f113&amp;f106, f113\\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51</v>
      </c>
      <c r="I46" t="str">
        <f>_xlfn.CONCAT("f",VLOOKUP(H46,Sheet2!A:C,2,FALSE),", f",VLOOKUP(H46,Sheet2!A:C,3,FALSE))</f>
        <v>f107, f112</v>
      </c>
      <c r="J46">
        <f>VLOOKUP(H46,Sheet2!A:C,2,FALSE)</f>
        <v>107</v>
      </c>
      <c r="K46">
        <f>VLOOKUP(H46,Sheet2!A:C,3,FALSE)</f>
        <v>112</v>
      </c>
      <c r="M46" t="s">
        <v>39</v>
      </c>
      <c r="N46">
        <v>2</v>
      </c>
      <c r="O46" t="str">
        <f>VLOOKUP(H46,Sheet2!A:G,6,FALSE)</f>
        <v>Bs</v>
      </c>
      <c r="P46" t="str">
        <f>VLOOKUP(H46,Sheet2!A:G,7,FALSE)</f>
        <v>B</v>
      </c>
      <c r="Q46" t="str">
        <f t="shared" si="2"/>
        <v xml:space="preserve">    \ 45&amp;51&amp;f107, f112&amp;Stars&amp;B&amp;Bs&amp;2\\</v>
      </c>
      <c r="R46" t="s">
        <v>85</v>
      </c>
      <c r="S46" t="str">
        <f t="shared" si="1"/>
        <v xml:space="preserve">    \ 45&amp;f107, f112&amp;f107, f112&amp;f107, f112&amp;f107, f112\\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52</v>
      </c>
      <c r="I47" t="str">
        <f>_xlfn.CONCAT("f",VLOOKUP(H47,Sheet2!A:C,2,FALSE),", f",VLOOKUP(H47,Sheet2!A:C,3,FALSE))</f>
        <v>f108, f111</v>
      </c>
      <c r="J47">
        <f>VLOOKUP(H47,Sheet2!A:C,2,FALSE)</f>
        <v>108</v>
      </c>
      <c r="K47">
        <f>VLOOKUP(H47,Sheet2!A:C,3,FALSE)</f>
        <v>111</v>
      </c>
      <c r="M47" t="s">
        <v>39</v>
      </c>
      <c r="N47">
        <v>2</v>
      </c>
      <c r="O47" t="str">
        <f>VLOOKUP(H47,Sheet2!A:G,6,FALSE)</f>
        <v>Bs</v>
      </c>
      <c r="P47" t="str">
        <f>VLOOKUP(H47,Sheet2!A:G,7,FALSE)</f>
        <v>B</v>
      </c>
      <c r="Q47" t="str">
        <f t="shared" si="2"/>
        <v xml:space="preserve">    \ 46&amp;52&amp;f108, f111&amp;Stars&amp;B&amp;Bs&amp;2\\</v>
      </c>
      <c r="R47" t="s">
        <v>86</v>
      </c>
      <c r="S47" t="str">
        <f t="shared" si="1"/>
        <v xml:space="preserve">    \ 46&amp;f108, f111&amp;f108, f111&amp;f108, f111&amp;f108, f111\\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47</v>
      </c>
      <c r="I48" t="str">
        <f>_xlfn.CONCAT("f",VLOOKUP(H48,Sheet2!A:C,2,FALSE),", f",VLOOKUP(H48,Sheet2!A:C,3,FALSE))</f>
        <v>f103, f116</v>
      </c>
      <c r="J48">
        <f>VLOOKUP(H48,Sheet2!A:C,2,FALSE)</f>
        <v>103</v>
      </c>
      <c r="K48">
        <f>VLOOKUP(H48,Sheet2!A:C,3,FALSE)</f>
        <v>116</v>
      </c>
      <c r="M48" t="s">
        <v>39</v>
      </c>
      <c r="N48">
        <v>3</v>
      </c>
      <c r="O48" t="str">
        <f>VLOOKUP(H48,Sheet2!A:G,6,FALSE)</f>
        <v>B</v>
      </c>
      <c r="P48" t="str">
        <f>VLOOKUP(H48,Sheet2!A:G,7,FALSE)</f>
        <v>B</v>
      </c>
      <c r="Q48" t="str">
        <f t="shared" si="2"/>
        <v xml:space="preserve">    \ 47&amp;47&amp;f103, f116&amp;Stars&amp;B&amp;B&amp;3\\</v>
      </c>
      <c r="R48" t="s">
        <v>87</v>
      </c>
      <c r="S48" t="str">
        <f t="shared" si="1"/>
        <v xml:space="preserve">    \ 47&amp;f103, f116&amp;f103, f116&amp;f103, f116&amp;f103, f116\\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36</v>
      </c>
      <c r="I49" t="str">
        <f>_xlfn.CONCAT("f",VLOOKUP(H49,Sheet2!A:C,2,FALSE),", f",VLOOKUP(H49,Sheet2!A:C,3,FALSE))</f>
        <v>f76, f83</v>
      </c>
      <c r="J49">
        <f>VLOOKUP(H49,Sheet2!A:C,2,FALSE)</f>
        <v>76</v>
      </c>
      <c r="K49">
        <f>VLOOKUP(H49,Sheet2!A:C,3,FALSE)</f>
        <v>83</v>
      </c>
      <c r="M49" t="s">
        <v>37</v>
      </c>
      <c r="N49">
        <v>3</v>
      </c>
      <c r="O49" t="str">
        <f>VLOOKUP(H49,Sheet2!A:G,6,FALSE)</f>
        <v>Bb</v>
      </c>
      <c r="P49" t="str">
        <f>VLOOKUP(H49,Sheet2!A:G,7,FALSE)</f>
        <v>B</v>
      </c>
      <c r="Q49" t="str">
        <f t="shared" si="2"/>
        <v xml:space="preserve">    \ 48&amp;36&amp;f76, f83&amp;Biological&amp;B&amp;Bb&amp;3\\</v>
      </c>
      <c r="R49" t="s">
        <v>88</v>
      </c>
      <c r="S49" t="str">
        <f t="shared" si="1"/>
        <v xml:space="preserve">    \ 48&amp;f77, f82&amp;f79, f80&amp;f76, f83&amp;f76, f83\\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37</v>
      </c>
      <c r="I50" t="str">
        <f>_xlfn.CONCAT("f",VLOOKUP(H50,Sheet2!A:C,2,FALSE),", f",VLOOKUP(H50,Sheet2!A:C,3,FALSE))</f>
        <v>f77, f82</v>
      </c>
      <c r="J50">
        <f>VLOOKUP(H50,Sheet2!A:C,2,FALSE)</f>
        <v>77</v>
      </c>
      <c r="K50">
        <f>VLOOKUP(H50,Sheet2!A:C,3,FALSE)</f>
        <v>82</v>
      </c>
      <c r="M50" t="s">
        <v>37</v>
      </c>
      <c r="N50">
        <v>3</v>
      </c>
      <c r="O50" t="str">
        <f>VLOOKUP(H50,Sheet2!A:G,6,FALSE)</f>
        <v>Bb</v>
      </c>
      <c r="P50" t="str">
        <f>VLOOKUP(H50,Sheet2!A:G,7,FALSE)</f>
        <v>B</v>
      </c>
      <c r="Q50" t="str">
        <f t="shared" si="2"/>
        <v xml:space="preserve">    \ 49&amp;37&amp;f77, f82&amp;Biological&amp;B&amp;Bb&amp;3\\</v>
      </c>
      <c r="R50" t="s">
        <v>89</v>
      </c>
      <c r="S50" t="str">
        <f t="shared" si="1"/>
        <v xml:space="preserve">    \ 49&amp;f76, f83&amp;f77, f82&amp;f78, f81&amp;f77, f82\\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39</v>
      </c>
      <c r="I51" t="str">
        <f>_xlfn.CONCAT("f",VLOOKUP(H51,Sheet2!A:C,2,FALSE),", f",VLOOKUP(H51,Sheet2!A:C,3,FALSE))</f>
        <v>f79, f80</v>
      </c>
      <c r="J51">
        <f>VLOOKUP(H51,Sheet2!A:C,2,FALSE)</f>
        <v>79</v>
      </c>
      <c r="K51">
        <f>VLOOKUP(H51,Sheet2!A:C,3,FALSE)</f>
        <v>80</v>
      </c>
      <c r="M51" t="s">
        <v>37</v>
      </c>
      <c r="N51">
        <v>3</v>
      </c>
      <c r="O51" t="str">
        <f>VLOOKUP(H51,Sheet2!A:G,6,FALSE)</f>
        <v>Bb</v>
      </c>
      <c r="P51" t="str">
        <f>VLOOKUP(H51,Sheet2!A:G,7,FALSE)</f>
        <v>B</v>
      </c>
      <c r="Q51" t="str">
        <f t="shared" si="2"/>
        <v xml:space="preserve">    \ 50&amp;39&amp;f79, f80&amp;Biological&amp;B&amp;Bb&amp;3\\</v>
      </c>
      <c r="R51" t="s">
        <v>90</v>
      </c>
      <c r="S51" t="str">
        <f t="shared" si="1"/>
        <v xml:space="preserve">    \ 50&amp;f78, f81&amp;f76, f83&amp;f75, f84&amp;f79, f80\\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35</v>
      </c>
      <c r="I52" t="str">
        <f>_xlfn.CONCAT("f",VLOOKUP(H52,Sheet2!A:C,2,FALSE),", f",VLOOKUP(H52,Sheet2!A:C,3,FALSE))</f>
        <v>f75, f84</v>
      </c>
      <c r="J52">
        <f>VLOOKUP(H52,Sheet2!A:C,2,FALSE)</f>
        <v>75</v>
      </c>
      <c r="K52">
        <f>VLOOKUP(H52,Sheet2!A:C,3,FALSE)</f>
        <v>84</v>
      </c>
      <c r="M52" t="s">
        <v>37</v>
      </c>
      <c r="N52">
        <v>3</v>
      </c>
      <c r="O52" t="str">
        <f>VLOOKUP(H52,Sheet2!A:G,6,FALSE)</f>
        <v>Bb</v>
      </c>
      <c r="P52" t="str">
        <f>VLOOKUP(H52,Sheet2!A:G,7,FALSE)</f>
        <v>B</v>
      </c>
      <c r="Q52" t="str">
        <f t="shared" si="2"/>
        <v xml:space="preserve">    \ 51&amp;35&amp;f75, f84&amp;Biological&amp;B&amp;Bb&amp;3\\</v>
      </c>
      <c r="R52" t="s">
        <v>91</v>
      </c>
      <c r="S52" t="str">
        <f t="shared" si="1"/>
        <v xml:space="preserve">    \ 51&amp;f75, f84&amp;f75, f84&amp;f79, f80&amp;f75, f84\\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38</v>
      </c>
      <c r="I53" t="str">
        <f>_xlfn.CONCAT("f",VLOOKUP(H53,Sheet2!A:C,2,FALSE),", f",VLOOKUP(H53,Sheet2!A:C,3,FALSE))</f>
        <v>f78, f81</v>
      </c>
      <c r="J53">
        <f>VLOOKUP(H53,Sheet2!A:C,2,FALSE)</f>
        <v>78</v>
      </c>
      <c r="K53">
        <f>VLOOKUP(H53,Sheet2!A:C,3,FALSE)</f>
        <v>81</v>
      </c>
      <c r="M53" t="s">
        <v>37</v>
      </c>
      <c r="N53">
        <v>3</v>
      </c>
      <c r="O53" t="str">
        <f>VLOOKUP(H53,Sheet2!A:G,6,FALSE)</f>
        <v>Bb</v>
      </c>
      <c r="P53" t="str">
        <f>VLOOKUP(H53,Sheet2!A:G,7,FALSE)</f>
        <v>B</v>
      </c>
      <c r="Q53" t="str">
        <f t="shared" si="2"/>
        <v xml:space="preserve">    \ 52&amp;38&amp;f78, f81&amp;Biological&amp;B&amp;Bb&amp;3\\</v>
      </c>
      <c r="R53" t="s">
        <v>92</v>
      </c>
      <c r="S53" t="str">
        <f t="shared" si="1"/>
        <v xml:space="preserve">    \ 52&amp;f79, f80&amp;f78, f81&amp;f77, f82&amp;f78, f81\\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44 H47:I53 I45:I46 H42:H4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2026-08-14T02:35:33Z</dcterms:modified>
</cp:coreProperties>
</file>